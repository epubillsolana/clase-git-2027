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b439e68e55b3e8/Desktop/"/>
    </mc:Choice>
  </mc:AlternateContent>
  <xr:revisionPtr revIDLastSave="88" documentId="14_{C361FA91-67BF-456B-A5B9-C75D10C24589}" xr6:coauthVersionLast="47" xr6:coauthVersionMax="47" xr10:uidLastSave="{4E25722D-7456-4F30-8BD3-AE11316BE0F6}"/>
  <bookViews>
    <workbookView xWindow="-120" yWindow="-120" windowWidth="29040" windowHeight="15720" activeTab="4" xr2:uid="{E8A02355-721D-429F-A729-6B07C018B90E}"/>
  </bookViews>
  <sheets>
    <sheet name="ventas_raw_200" sheetId="2" r:id="rId1"/>
    <sheet name="maestro_productos_15" sheetId="3" r:id="rId2"/>
    <sheet name="Reporte_consolidado" sheetId="1" r:id="rId3"/>
    <sheet name="Dashboard_Ejecutivo" sheetId="4" r:id="rId4"/>
    <sheet name="Dashboard_Alternativo CLaude" sheetId="6" r:id="rId5"/>
    <sheet name="Chart Data" sheetId="5" state="hidden" r:id="rId6"/>
  </sheets>
  <definedNames>
    <definedName name="DatosExternos_1" localSheetId="1" hidden="1">maestro_productos_15!$A$1:$F$16</definedName>
    <definedName name="DatosExternos_1" localSheetId="0" hidden="1">ventas_raw_200!$A$1:$H$201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O201" i="2" l="1"/>
  <c r="M201" i="2"/>
  <c r="N201" i="2" s="1"/>
  <c r="L201" i="2"/>
  <c r="K201" i="2"/>
  <c r="J201" i="2"/>
  <c r="I201" i="2"/>
  <c r="U201" i="2" s="1" a="1"/>
  <c r="O200" i="2"/>
  <c r="M200" i="2"/>
  <c r="N200" i="2" s="1"/>
  <c r="L200" i="2"/>
  <c r="K200" i="2"/>
  <c r="J200" i="2"/>
  <c r="I200" i="2"/>
  <c r="U200" i="2" s="1" a="1"/>
  <c r="O199" i="2"/>
  <c r="M199" i="2"/>
  <c r="N199" i="2" s="1"/>
  <c r="L199" i="2"/>
  <c r="K199" i="2"/>
  <c r="J199" i="2"/>
  <c r="I199" i="2"/>
  <c r="U199" i="2" s="1" a="1"/>
  <c r="O198" i="2"/>
  <c r="M198" i="2"/>
  <c r="N198" i="2" s="1"/>
  <c r="L198" i="2"/>
  <c r="K198" i="2"/>
  <c r="J198" i="2"/>
  <c r="I198" i="2"/>
  <c r="U198" i="2" s="1" a="1"/>
  <c r="O197" i="2"/>
  <c r="M197" i="2"/>
  <c r="N197" i="2" s="1"/>
  <c r="L197" i="2"/>
  <c r="K197" i="2"/>
  <c r="J197" i="2"/>
  <c r="I197" i="2"/>
  <c r="U197" i="2" s="1" a="1"/>
  <c r="O196" i="2"/>
  <c r="M196" i="2"/>
  <c r="N196" i="2" s="1"/>
  <c r="L196" i="2"/>
  <c r="K196" i="2"/>
  <c r="J196" i="2"/>
  <c r="I196" i="2"/>
  <c r="U196" i="2" s="1" a="1"/>
  <c r="O195" i="2"/>
  <c r="M195" i="2"/>
  <c r="N195" i="2" s="1"/>
  <c r="L195" i="2"/>
  <c r="K195" i="2"/>
  <c r="J195" i="2"/>
  <c r="I195" i="2"/>
  <c r="U195" i="2" s="1" a="1"/>
  <c r="O194" i="2"/>
  <c r="M194" i="2"/>
  <c r="N194" i="2" s="1"/>
  <c r="L194" i="2"/>
  <c r="K194" i="2"/>
  <c r="J194" i="2"/>
  <c r="I194" i="2"/>
  <c r="U194" i="2" s="1" a="1"/>
  <c r="O193" i="2"/>
  <c r="M193" i="2"/>
  <c r="N193" i="2" s="1"/>
  <c r="L193" i="2"/>
  <c r="K193" i="2"/>
  <c r="J193" i="2"/>
  <c r="I193" i="2"/>
  <c r="U193" i="2" s="1" a="1"/>
  <c r="O192" i="2"/>
  <c r="M192" i="2"/>
  <c r="N192" i="2" s="1"/>
  <c r="L192" i="2"/>
  <c r="K192" i="2"/>
  <c r="J192" i="2"/>
  <c r="I192" i="2"/>
  <c r="U192" i="2" s="1" a="1"/>
  <c r="O191" i="2"/>
  <c r="M191" i="2"/>
  <c r="N191" i="2" s="1"/>
  <c r="L191" i="2"/>
  <c r="K191" i="2"/>
  <c r="J191" i="2"/>
  <c r="I191" i="2"/>
  <c r="U191" i="2" s="1" a="1"/>
  <c r="O190" i="2"/>
  <c r="M190" i="2"/>
  <c r="N190" i="2" s="1"/>
  <c r="L190" i="2"/>
  <c r="K190" i="2"/>
  <c r="J190" i="2"/>
  <c r="I190" i="2"/>
  <c r="U190" i="2" s="1" a="1"/>
  <c r="O189" i="2"/>
  <c r="M189" i="2"/>
  <c r="N189" i="2" s="1"/>
  <c r="L189" i="2"/>
  <c r="K189" i="2"/>
  <c r="J189" i="2"/>
  <c r="I189" i="2"/>
  <c r="U189" i="2" s="1" a="1"/>
  <c r="O188" i="2"/>
  <c r="M188" i="2"/>
  <c r="N188" i="2" s="1"/>
  <c r="L188" i="2"/>
  <c r="K188" i="2"/>
  <c r="J188" i="2"/>
  <c r="I188" i="2"/>
  <c r="U188" i="2" s="1" a="1"/>
  <c r="O187" i="2"/>
  <c r="M187" i="2"/>
  <c r="N187" i="2" s="1"/>
  <c r="L187" i="2"/>
  <c r="K187" i="2"/>
  <c r="J187" i="2"/>
  <c r="I187" i="2"/>
  <c r="U187" i="2" s="1" a="1"/>
  <c r="O186" i="2"/>
  <c r="M186" i="2"/>
  <c r="N186" i="2" s="1"/>
  <c r="L186" i="2"/>
  <c r="K186" i="2"/>
  <c r="J186" i="2"/>
  <c r="I186" i="2"/>
  <c r="U186" i="2" s="1" a="1"/>
  <c r="O185" i="2"/>
  <c r="M185" i="2"/>
  <c r="N185" i="2" s="1"/>
  <c r="L185" i="2"/>
  <c r="K185" i="2"/>
  <c r="J185" i="2"/>
  <c r="I185" i="2"/>
  <c r="U185" i="2" s="1" a="1"/>
  <c r="O184" i="2"/>
  <c r="M184" i="2"/>
  <c r="N184" i="2" s="1"/>
  <c r="L184" i="2"/>
  <c r="K184" i="2"/>
  <c r="J184" i="2"/>
  <c r="I184" i="2"/>
  <c r="U184" i="2" s="1" a="1"/>
  <c r="O183" i="2"/>
  <c r="M183" i="2"/>
  <c r="N183" i="2" s="1"/>
  <c r="L183" i="2"/>
  <c r="K183" i="2"/>
  <c r="J183" i="2"/>
  <c r="I183" i="2"/>
  <c r="U183" i="2" s="1" a="1"/>
  <c r="O182" i="2"/>
  <c r="M182" i="2"/>
  <c r="N182" i="2" s="1"/>
  <c r="L182" i="2"/>
  <c r="K182" i="2"/>
  <c r="J182" i="2"/>
  <c r="I182" i="2"/>
  <c r="U182" i="2" s="1" a="1"/>
  <c r="O181" i="2"/>
  <c r="M181" i="2"/>
  <c r="N181" i="2" s="1"/>
  <c r="L181" i="2"/>
  <c r="K181" i="2"/>
  <c r="J181" i="2"/>
  <c r="I181" i="2"/>
  <c r="U181" i="2" s="1" a="1"/>
  <c r="O180" i="2"/>
  <c r="M180" i="2"/>
  <c r="N180" i="2" s="1"/>
  <c r="L180" i="2"/>
  <c r="K180" i="2"/>
  <c r="J180" i="2"/>
  <c r="I180" i="2"/>
  <c r="U180" i="2" s="1" a="1"/>
  <c r="O179" i="2"/>
  <c r="M179" i="2"/>
  <c r="N179" i="2" s="1"/>
  <c r="L179" i="2"/>
  <c r="K179" i="2"/>
  <c r="J179" i="2"/>
  <c r="I179" i="2"/>
  <c r="U179" i="2" s="1" a="1"/>
  <c r="O178" i="2"/>
  <c r="M178" i="2"/>
  <c r="N178" i="2" s="1"/>
  <c r="L178" i="2"/>
  <c r="K178" i="2"/>
  <c r="J178" i="2"/>
  <c r="I178" i="2"/>
  <c r="U178" i="2" s="1" a="1"/>
  <c r="O177" i="2"/>
  <c r="M177" i="2"/>
  <c r="N177" i="2" s="1"/>
  <c r="L177" i="2"/>
  <c r="K177" i="2"/>
  <c r="J177" i="2"/>
  <c r="I177" i="2"/>
  <c r="U177" i="2" s="1" a="1"/>
  <c r="O176" i="2"/>
  <c r="M176" i="2"/>
  <c r="N176" i="2" s="1"/>
  <c r="L176" i="2"/>
  <c r="K176" i="2"/>
  <c r="J176" i="2"/>
  <c r="I176" i="2"/>
  <c r="U176" i="2" s="1" a="1"/>
  <c r="O175" i="2"/>
  <c r="M175" i="2"/>
  <c r="N175" i="2" s="1"/>
  <c r="L175" i="2"/>
  <c r="K175" i="2"/>
  <c r="J175" i="2"/>
  <c r="I175" i="2"/>
  <c r="O174" i="2"/>
  <c r="M174" i="2"/>
  <c r="N174" i="2" s="1"/>
  <c r="L174" i="2"/>
  <c r="K174" i="2"/>
  <c r="J174" i="2"/>
  <c r="I174" i="2"/>
  <c r="U174" i="2" s="1" a="1"/>
  <c r="O173" i="2"/>
  <c r="M173" i="2"/>
  <c r="N173" i="2" s="1"/>
  <c r="L173" i="2"/>
  <c r="K173" i="2"/>
  <c r="J173" i="2"/>
  <c r="I173" i="2"/>
  <c r="U173" i="2" s="1" a="1"/>
  <c r="O172" i="2"/>
  <c r="M172" i="2"/>
  <c r="N172" i="2" s="1"/>
  <c r="L172" i="2"/>
  <c r="K172" i="2"/>
  <c r="J172" i="2"/>
  <c r="I172" i="2"/>
  <c r="U172" i="2" s="1" a="1"/>
  <c r="O171" i="2"/>
  <c r="M171" i="2"/>
  <c r="N171" i="2" s="1"/>
  <c r="L171" i="2"/>
  <c r="K171" i="2"/>
  <c r="J171" i="2"/>
  <c r="I171" i="2"/>
  <c r="U171" i="2" s="1" a="1"/>
  <c r="O170" i="2"/>
  <c r="M170" i="2"/>
  <c r="N170" i="2" s="1"/>
  <c r="L170" i="2"/>
  <c r="K170" i="2"/>
  <c r="J170" i="2"/>
  <c r="I170" i="2"/>
  <c r="U170" i="2" s="1" a="1"/>
  <c r="O169" i="2"/>
  <c r="M169" i="2"/>
  <c r="N169" i="2" s="1"/>
  <c r="L169" i="2"/>
  <c r="K169" i="2"/>
  <c r="C115" i="6" s="1"/>
  <c r="J169" i="2"/>
  <c r="C114" i="6" s="1"/>
  <c r="I169" i="2"/>
  <c r="U169" i="2" s="1" a="1"/>
  <c r="O168" i="2"/>
  <c r="M168" i="2"/>
  <c r="L168" i="2"/>
  <c r="K168" i="2"/>
  <c r="J168" i="2"/>
  <c r="I168" i="2"/>
  <c r="O167" i="2"/>
  <c r="M167" i="2"/>
  <c r="N167" i="2" s="1"/>
  <c r="L167" i="2"/>
  <c r="K167" i="2"/>
  <c r="J167" i="2"/>
  <c r="I167" i="2"/>
  <c r="U167" i="2" s="1" a="1"/>
  <c r="O166" i="2"/>
  <c r="M166" i="2"/>
  <c r="N166" i="2" s="1"/>
  <c r="L166" i="2"/>
  <c r="K166" i="2"/>
  <c r="J166" i="2"/>
  <c r="I166" i="2"/>
  <c r="U166" i="2" s="1" a="1"/>
  <c r="O165" i="2"/>
  <c r="M165" i="2"/>
  <c r="N165" i="2" s="1"/>
  <c r="L165" i="2"/>
  <c r="K165" i="2"/>
  <c r="J165" i="2"/>
  <c r="I165" i="2"/>
  <c r="U165" i="2" s="1" a="1"/>
  <c r="O164" i="2"/>
  <c r="M164" i="2"/>
  <c r="N164" i="2" s="1"/>
  <c r="L164" i="2"/>
  <c r="K164" i="2"/>
  <c r="J164" i="2"/>
  <c r="I164" i="2"/>
  <c r="U164" i="2" s="1" a="1"/>
  <c r="O163" i="2"/>
  <c r="M163" i="2"/>
  <c r="N163" i="2" s="1"/>
  <c r="L163" i="2"/>
  <c r="K163" i="2"/>
  <c r="J163" i="2"/>
  <c r="I163" i="2"/>
  <c r="U163" i="2" s="1" a="1"/>
  <c r="O162" i="2"/>
  <c r="M162" i="2"/>
  <c r="N162" i="2" s="1"/>
  <c r="L162" i="2"/>
  <c r="K162" i="2"/>
  <c r="J162" i="2"/>
  <c r="I162" i="2"/>
  <c r="U162" i="2" s="1" a="1"/>
  <c r="O161" i="2"/>
  <c r="M161" i="2"/>
  <c r="N161" i="2" s="1"/>
  <c r="L161" i="2"/>
  <c r="K161" i="2"/>
  <c r="J161" i="2"/>
  <c r="I161" i="2"/>
  <c r="U161" i="2" s="1" a="1"/>
  <c r="O160" i="2"/>
  <c r="M160" i="2"/>
  <c r="N160" i="2" s="1"/>
  <c r="L160" i="2"/>
  <c r="K160" i="2"/>
  <c r="J160" i="2"/>
  <c r="I160" i="2"/>
  <c r="U160" i="2" s="1" a="1"/>
  <c r="O159" i="2"/>
  <c r="M159" i="2"/>
  <c r="N159" i="2" s="1"/>
  <c r="L159" i="2"/>
  <c r="K159" i="2"/>
  <c r="J159" i="2"/>
  <c r="I159" i="2"/>
  <c r="U159" i="2" s="1" a="1"/>
  <c r="O158" i="2"/>
  <c r="M158" i="2"/>
  <c r="N158" i="2" s="1"/>
  <c r="L158" i="2"/>
  <c r="K158" i="2"/>
  <c r="J158" i="2"/>
  <c r="I158" i="2"/>
  <c r="U158" i="2" s="1" a="1"/>
  <c r="O157" i="2"/>
  <c r="M157" i="2"/>
  <c r="N157" i="2" s="1"/>
  <c r="L157" i="2"/>
  <c r="K157" i="2"/>
  <c r="J157" i="2"/>
  <c r="I157" i="2"/>
  <c r="U157" i="2" s="1" a="1"/>
  <c r="O156" i="2"/>
  <c r="M156" i="2"/>
  <c r="N156" i="2" s="1"/>
  <c r="L156" i="2"/>
  <c r="K156" i="2"/>
  <c r="J156" i="2"/>
  <c r="I156" i="2"/>
  <c r="U156" i="2" s="1" a="1"/>
  <c r="O155" i="2"/>
  <c r="M155" i="2"/>
  <c r="N155" i="2" s="1"/>
  <c r="L155" i="2"/>
  <c r="K155" i="2"/>
  <c r="J155" i="2"/>
  <c r="I155" i="2"/>
  <c r="U155" i="2" s="1" a="1"/>
  <c r="O154" i="2"/>
  <c r="M154" i="2"/>
  <c r="N154" i="2" s="1"/>
  <c r="L154" i="2"/>
  <c r="K154" i="2"/>
  <c r="J154" i="2"/>
  <c r="I154" i="2"/>
  <c r="U154" i="2" s="1" a="1"/>
  <c r="O153" i="2"/>
  <c r="M153" i="2"/>
  <c r="N153" i="2" s="1"/>
  <c r="L153" i="2"/>
  <c r="K153" i="2"/>
  <c r="J153" i="2"/>
  <c r="I153" i="2"/>
  <c r="U153" i="2" s="1" a="1"/>
  <c r="O152" i="2"/>
  <c r="M152" i="2"/>
  <c r="N152" i="2" s="1"/>
  <c r="L152" i="2"/>
  <c r="K152" i="2"/>
  <c r="J152" i="2"/>
  <c r="I152" i="2"/>
  <c r="U152" i="2" s="1" a="1"/>
  <c r="O151" i="2"/>
  <c r="M151" i="2"/>
  <c r="N151" i="2" s="1"/>
  <c r="L151" i="2"/>
  <c r="K151" i="2"/>
  <c r="J151" i="2"/>
  <c r="I151" i="2"/>
  <c r="U151" i="2" s="1" a="1"/>
  <c r="O150" i="2"/>
  <c r="M150" i="2"/>
  <c r="N150" i="2" s="1"/>
  <c r="L150" i="2"/>
  <c r="K150" i="2"/>
  <c r="J150" i="2"/>
  <c r="I150" i="2"/>
  <c r="U150" i="2" s="1" a="1"/>
  <c r="O149" i="2"/>
  <c r="M149" i="2"/>
  <c r="N149" i="2" s="1"/>
  <c r="L149" i="2"/>
  <c r="K149" i="2"/>
  <c r="J149" i="2"/>
  <c r="I149" i="2"/>
  <c r="U149" i="2" s="1" a="1"/>
  <c r="O148" i="2"/>
  <c r="M148" i="2"/>
  <c r="N148" i="2" s="1"/>
  <c r="L148" i="2"/>
  <c r="K148" i="2"/>
  <c r="J148" i="2"/>
  <c r="I148" i="2"/>
  <c r="U148" i="2" s="1" a="1"/>
  <c r="O147" i="2"/>
  <c r="M147" i="2"/>
  <c r="N147" i="2" s="1"/>
  <c r="L147" i="2"/>
  <c r="K147" i="2"/>
  <c r="J147" i="2"/>
  <c r="I147" i="2"/>
  <c r="U147" i="2" s="1" a="1"/>
  <c r="O146" i="2"/>
  <c r="M146" i="2"/>
  <c r="N146" i="2" s="1"/>
  <c r="L146" i="2"/>
  <c r="K146" i="2"/>
  <c r="J146" i="2"/>
  <c r="I146" i="2"/>
  <c r="U146" i="2" s="1" a="1"/>
  <c r="O145" i="2"/>
  <c r="M145" i="2"/>
  <c r="N145" i="2" s="1"/>
  <c r="L145" i="2"/>
  <c r="K145" i="2"/>
  <c r="J145" i="2"/>
  <c r="I145" i="2"/>
  <c r="U145" i="2" s="1" a="1"/>
  <c r="O144" i="2"/>
  <c r="M144" i="2"/>
  <c r="N144" i="2" s="1"/>
  <c r="L144" i="2"/>
  <c r="K144" i="2"/>
  <c r="J144" i="2"/>
  <c r="I144" i="2"/>
  <c r="U144" i="2" s="1" a="1"/>
  <c r="O143" i="2"/>
  <c r="M143" i="2"/>
  <c r="N143" i="2" s="1"/>
  <c r="L143" i="2"/>
  <c r="K143" i="2"/>
  <c r="J143" i="2"/>
  <c r="I143" i="2"/>
  <c r="U143" i="2" s="1" a="1"/>
  <c r="O142" i="2"/>
  <c r="M142" i="2"/>
  <c r="N142" i="2" s="1"/>
  <c r="L142" i="2"/>
  <c r="K142" i="2"/>
  <c r="J142" i="2"/>
  <c r="I142" i="2"/>
  <c r="U142" i="2" s="1" a="1"/>
  <c r="O141" i="2"/>
  <c r="M141" i="2"/>
  <c r="N141" i="2" s="1"/>
  <c r="L141" i="2"/>
  <c r="K141" i="2"/>
  <c r="J141" i="2"/>
  <c r="I141" i="2"/>
  <c r="U141" i="2" s="1" a="1"/>
  <c r="O140" i="2"/>
  <c r="M140" i="2"/>
  <c r="N140" i="2" s="1"/>
  <c r="L140" i="2"/>
  <c r="K140" i="2"/>
  <c r="J140" i="2"/>
  <c r="I140" i="2"/>
  <c r="U140" i="2" s="1" a="1"/>
  <c r="O139" i="2"/>
  <c r="M139" i="2"/>
  <c r="N139" i="2" s="1"/>
  <c r="L139" i="2"/>
  <c r="K139" i="2"/>
  <c r="J139" i="2"/>
  <c r="I139" i="2"/>
  <c r="U139" i="2" s="1" a="1"/>
  <c r="O138" i="2"/>
  <c r="M138" i="2"/>
  <c r="N138" i="2" s="1"/>
  <c r="L138" i="2"/>
  <c r="K138" i="2"/>
  <c r="J138" i="2"/>
  <c r="I138" i="2"/>
  <c r="U138" i="2" s="1" a="1"/>
  <c r="O137" i="2"/>
  <c r="M137" i="2"/>
  <c r="N137" i="2" s="1"/>
  <c r="L137" i="2"/>
  <c r="K137" i="2"/>
  <c r="J137" i="2"/>
  <c r="I137" i="2"/>
  <c r="U137" i="2" s="1" a="1"/>
  <c r="O136" i="2"/>
  <c r="M136" i="2"/>
  <c r="N136" i="2" s="1"/>
  <c r="L136" i="2"/>
  <c r="K136" i="2"/>
  <c r="J136" i="2"/>
  <c r="I136" i="2"/>
  <c r="U136" i="2" s="1" a="1"/>
  <c r="O135" i="2"/>
  <c r="M135" i="2"/>
  <c r="N135" i="2" s="1"/>
  <c r="L135" i="2"/>
  <c r="K135" i="2"/>
  <c r="J135" i="2"/>
  <c r="I135" i="2"/>
  <c r="O134" i="2"/>
  <c r="M134" i="2"/>
  <c r="N134" i="2" s="1"/>
  <c r="L134" i="2"/>
  <c r="K134" i="2"/>
  <c r="J134" i="2"/>
  <c r="I134" i="2"/>
  <c r="U134" i="2" s="1" a="1"/>
  <c r="O133" i="2"/>
  <c r="M133" i="2"/>
  <c r="N133" i="2" s="1"/>
  <c r="L133" i="2"/>
  <c r="K133" i="2"/>
  <c r="J133" i="2"/>
  <c r="I133" i="2"/>
  <c r="U133" i="2" s="1" a="1"/>
  <c r="O132" i="2"/>
  <c r="M132" i="2"/>
  <c r="N132" i="2" s="1"/>
  <c r="L132" i="2"/>
  <c r="K132" i="2"/>
  <c r="J132" i="2"/>
  <c r="I132" i="2"/>
  <c r="U132" i="2" s="1" a="1"/>
  <c r="O131" i="2"/>
  <c r="M131" i="2"/>
  <c r="N131" i="2" s="1"/>
  <c r="L131" i="2"/>
  <c r="K131" i="2"/>
  <c r="J131" i="2"/>
  <c r="I131" i="2"/>
  <c r="U131" i="2" s="1" a="1"/>
  <c r="O130" i="2"/>
  <c r="M130" i="2"/>
  <c r="N130" i="2" s="1"/>
  <c r="L130" i="2"/>
  <c r="K130" i="2"/>
  <c r="J130" i="2"/>
  <c r="I130" i="2"/>
  <c r="U130" i="2" s="1" a="1"/>
  <c r="O129" i="2"/>
  <c r="M129" i="2"/>
  <c r="N129" i="2" s="1"/>
  <c r="L129" i="2"/>
  <c r="K129" i="2"/>
  <c r="J129" i="2"/>
  <c r="I129" i="2"/>
  <c r="U129" i="2" s="1" a="1"/>
  <c r="O128" i="2"/>
  <c r="M128" i="2"/>
  <c r="N128" i="2" s="1"/>
  <c r="L128" i="2"/>
  <c r="K128" i="2"/>
  <c r="J128" i="2"/>
  <c r="I128" i="2"/>
  <c r="U128" i="2" s="1" a="1"/>
  <c r="O127" i="2"/>
  <c r="M127" i="2"/>
  <c r="N127" i="2" s="1"/>
  <c r="L127" i="2"/>
  <c r="K127" i="2"/>
  <c r="J127" i="2"/>
  <c r="I127" i="2"/>
  <c r="U127" i="2" s="1" a="1"/>
  <c r="O126" i="2"/>
  <c r="M126" i="2"/>
  <c r="N126" i="2" s="1"/>
  <c r="L126" i="2"/>
  <c r="K126" i="2"/>
  <c r="J126" i="2"/>
  <c r="I126" i="2"/>
  <c r="U126" i="2" s="1" a="1"/>
  <c r="O125" i="2"/>
  <c r="M125" i="2"/>
  <c r="N125" i="2" s="1"/>
  <c r="L125" i="2"/>
  <c r="K125" i="2"/>
  <c r="J125" i="2"/>
  <c r="I125" i="2"/>
  <c r="U125" i="2" s="1" a="1"/>
  <c r="O124" i="2"/>
  <c r="M124" i="2"/>
  <c r="N124" i="2" s="1"/>
  <c r="L124" i="2"/>
  <c r="K124" i="2"/>
  <c r="J124" i="2"/>
  <c r="I124" i="2"/>
  <c r="U124" i="2" s="1" a="1"/>
  <c r="O123" i="2"/>
  <c r="M123" i="2"/>
  <c r="N123" i="2" s="1"/>
  <c r="L123" i="2"/>
  <c r="K123" i="2"/>
  <c r="J123" i="2"/>
  <c r="I123" i="2"/>
  <c r="U123" i="2" s="1" a="1"/>
  <c r="O122" i="2"/>
  <c r="M122" i="2"/>
  <c r="N122" i="2" s="1"/>
  <c r="L122" i="2"/>
  <c r="K122" i="2"/>
  <c r="J122" i="2"/>
  <c r="I122" i="2"/>
  <c r="U122" i="2" s="1" a="1"/>
  <c r="O121" i="2"/>
  <c r="M121" i="2"/>
  <c r="N121" i="2" s="1"/>
  <c r="L121" i="2"/>
  <c r="K121" i="2"/>
  <c r="J121" i="2"/>
  <c r="I121" i="2"/>
  <c r="U121" i="2" s="1" a="1"/>
  <c r="O120" i="2"/>
  <c r="M120" i="2"/>
  <c r="N120" i="2" s="1"/>
  <c r="L120" i="2"/>
  <c r="K120" i="2"/>
  <c r="J120" i="2"/>
  <c r="I120" i="2"/>
  <c r="U120" i="2" s="1" a="1"/>
  <c r="O119" i="2"/>
  <c r="M119" i="2"/>
  <c r="N119" i="2" s="1"/>
  <c r="L119" i="2"/>
  <c r="K119" i="2"/>
  <c r="J119" i="2"/>
  <c r="I119" i="2"/>
  <c r="U119" i="2" s="1" a="1"/>
  <c r="O118" i="2"/>
  <c r="M118" i="2"/>
  <c r="N118" i="2" s="1"/>
  <c r="L118" i="2"/>
  <c r="K118" i="2"/>
  <c r="J118" i="2"/>
  <c r="I118" i="2"/>
  <c r="U118" i="2" s="1" a="1"/>
  <c r="O117" i="2"/>
  <c r="M117" i="2"/>
  <c r="N117" i="2" s="1"/>
  <c r="L117" i="2"/>
  <c r="K117" i="2"/>
  <c r="J117" i="2"/>
  <c r="I117" i="2"/>
  <c r="U117" i="2" s="1" a="1"/>
  <c r="O116" i="2"/>
  <c r="M116" i="2"/>
  <c r="N116" i="2" s="1"/>
  <c r="L116" i="2"/>
  <c r="K116" i="2"/>
  <c r="J116" i="2"/>
  <c r="I116" i="2"/>
  <c r="U116" i="2" s="1" a="1"/>
  <c r="O115" i="2"/>
  <c r="M115" i="2"/>
  <c r="N115" i="2" s="1"/>
  <c r="L115" i="2"/>
  <c r="K115" i="2"/>
  <c r="J115" i="2"/>
  <c r="I115" i="2"/>
  <c r="U115" i="2" s="1" a="1"/>
  <c r="O114" i="2"/>
  <c r="M114" i="2"/>
  <c r="N114" i="2" s="1"/>
  <c r="L114" i="2"/>
  <c r="K114" i="2"/>
  <c r="J114" i="2"/>
  <c r="I114" i="2"/>
  <c r="U114" i="2" s="1" a="1"/>
  <c r="O113" i="2"/>
  <c r="M113" i="2"/>
  <c r="N113" i="2" s="1"/>
  <c r="L113" i="2"/>
  <c r="K113" i="2"/>
  <c r="J113" i="2"/>
  <c r="I113" i="2"/>
  <c r="U113" i="2" s="1" a="1"/>
  <c r="O112" i="2"/>
  <c r="M112" i="2"/>
  <c r="N112" i="2" s="1"/>
  <c r="L112" i="2"/>
  <c r="K112" i="2"/>
  <c r="J112" i="2"/>
  <c r="I112" i="2"/>
  <c r="U112" i="2" s="1" a="1"/>
  <c r="O111" i="2"/>
  <c r="M111" i="2"/>
  <c r="N111" i="2" s="1"/>
  <c r="L111" i="2"/>
  <c r="K111" i="2"/>
  <c r="J111" i="2"/>
  <c r="I111" i="2"/>
  <c r="U111" i="2" s="1" a="1"/>
  <c r="O110" i="2"/>
  <c r="M110" i="2"/>
  <c r="N110" i="2" s="1"/>
  <c r="L110" i="2"/>
  <c r="K110" i="2"/>
  <c r="J110" i="2"/>
  <c r="I110" i="2"/>
  <c r="U110" i="2" s="1" a="1"/>
  <c r="O109" i="2"/>
  <c r="M109" i="2"/>
  <c r="N109" i="2" s="1"/>
  <c r="L109" i="2"/>
  <c r="K109" i="2"/>
  <c r="J109" i="2"/>
  <c r="I109" i="2"/>
  <c r="U109" i="2" s="1" a="1"/>
  <c r="O108" i="2"/>
  <c r="M108" i="2"/>
  <c r="N108" i="2" s="1"/>
  <c r="L108" i="2"/>
  <c r="K108" i="2"/>
  <c r="J108" i="2"/>
  <c r="I108" i="2"/>
  <c r="U108" i="2" s="1" a="1"/>
  <c r="O107" i="2"/>
  <c r="M107" i="2"/>
  <c r="N107" i="2" s="1"/>
  <c r="L107" i="2"/>
  <c r="K107" i="2"/>
  <c r="J107" i="2"/>
  <c r="I107" i="2"/>
  <c r="U107" i="2" s="1" a="1"/>
  <c r="O106" i="2"/>
  <c r="M106" i="2"/>
  <c r="N106" i="2" s="1"/>
  <c r="L106" i="2"/>
  <c r="K106" i="2"/>
  <c r="J106" i="2"/>
  <c r="I106" i="2"/>
  <c r="U106" i="2" s="1" a="1"/>
  <c r="O105" i="2"/>
  <c r="M105" i="2"/>
  <c r="N105" i="2" s="1"/>
  <c r="L105" i="2"/>
  <c r="K105" i="2"/>
  <c r="J105" i="2"/>
  <c r="I105" i="2"/>
  <c r="U105" i="2" s="1" a="1"/>
  <c r="O104" i="2"/>
  <c r="M104" i="2"/>
  <c r="N104" i="2" s="1"/>
  <c r="L104" i="2"/>
  <c r="K104" i="2"/>
  <c r="J104" i="2"/>
  <c r="I104" i="2"/>
  <c r="U104" i="2" s="1" a="1"/>
  <c r="O103" i="2"/>
  <c r="M103" i="2"/>
  <c r="N103" i="2" s="1"/>
  <c r="L103" i="2"/>
  <c r="K103" i="2"/>
  <c r="J103" i="2"/>
  <c r="I103" i="2"/>
  <c r="U103" i="2" s="1" a="1"/>
  <c r="O102" i="2"/>
  <c r="M102" i="2"/>
  <c r="N102" i="2" s="1"/>
  <c r="L102" i="2"/>
  <c r="K102" i="2"/>
  <c r="J102" i="2"/>
  <c r="I102" i="2"/>
  <c r="U102" i="2" s="1" a="1"/>
  <c r="O101" i="2"/>
  <c r="M101" i="2"/>
  <c r="N101" i="2" s="1"/>
  <c r="L101" i="2"/>
  <c r="K101" i="2"/>
  <c r="J101" i="2"/>
  <c r="I101" i="2"/>
  <c r="O100" i="2"/>
  <c r="M100" i="2"/>
  <c r="N100" i="2" s="1"/>
  <c r="L100" i="2"/>
  <c r="K100" i="2"/>
  <c r="J100" i="2"/>
  <c r="I100" i="2"/>
  <c r="U100" i="2" s="1" a="1"/>
  <c r="O99" i="2"/>
  <c r="M99" i="2"/>
  <c r="N99" i="2" s="1"/>
  <c r="L99" i="2"/>
  <c r="K99" i="2"/>
  <c r="J99" i="2"/>
  <c r="I99" i="2"/>
  <c r="U99" i="2" s="1" a="1"/>
  <c r="O98" i="2"/>
  <c r="M98" i="2"/>
  <c r="N98" i="2" s="1"/>
  <c r="L98" i="2"/>
  <c r="K98" i="2"/>
  <c r="J98" i="2"/>
  <c r="I98" i="2"/>
  <c r="U98" i="2" s="1" a="1"/>
  <c r="O97" i="2"/>
  <c r="M97" i="2"/>
  <c r="N97" i="2" s="1"/>
  <c r="L97" i="2"/>
  <c r="K97" i="2"/>
  <c r="J97" i="2"/>
  <c r="I97" i="2"/>
  <c r="U97" i="2" s="1" a="1"/>
  <c r="O96" i="2"/>
  <c r="M96" i="2"/>
  <c r="N96" i="2" s="1"/>
  <c r="L96" i="2"/>
  <c r="K96" i="2"/>
  <c r="J96" i="2"/>
  <c r="I96" i="2"/>
  <c r="U96" i="2" s="1" a="1"/>
  <c r="O95" i="2"/>
  <c r="M95" i="2"/>
  <c r="N95" i="2" s="1"/>
  <c r="L95" i="2"/>
  <c r="K95" i="2"/>
  <c r="J95" i="2"/>
  <c r="I95" i="2"/>
  <c r="U95" i="2" s="1" a="1"/>
  <c r="O94" i="2"/>
  <c r="M94" i="2"/>
  <c r="N94" i="2" s="1"/>
  <c r="L94" i="2"/>
  <c r="K94" i="2"/>
  <c r="J94" i="2"/>
  <c r="I94" i="2"/>
  <c r="U94" i="2" s="1" a="1"/>
  <c r="O93" i="2"/>
  <c r="M93" i="2"/>
  <c r="N93" i="2" s="1"/>
  <c r="L93" i="2"/>
  <c r="K93" i="2"/>
  <c r="J93" i="2"/>
  <c r="I93" i="2"/>
  <c r="U93" i="2" s="1" a="1"/>
  <c r="O92" i="2"/>
  <c r="M92" i="2"/>
  <c r="N92" i="2" s="1"/>
  <c r="L92" i="2"/>
  <c r="K92" i="2"/>
  <c r="J92" i="2"/>
  <c r="I92" i="2"/>
  <c r="U92" i="2" s="1" a="1"/>
  <c r="O91" i="2"/>
  <c r="M91" i="2"/>
  <c r="N91" i="2" s="1"/>
  <c r="L91" i="2"/>
  <c r="K91" i="2"/>
  <c r="J91" i="2"/>
  <c r="I91" i="2"/>
  <c r="U91" i="2" s="1" a="1"/>
  <c r="O90" i="2"/>
  <c r="M90" i="2"/>
  <c r="N90" i="2" s="1"/>
  <c r="L90" i="2"/>
  <c r="K90" i="2"/>
  <c r="J90" i="2"/>
  <c r="I90" i="2"/>
  <c r="U90" i="2" s="1" a="1"/>
  <c r="O89" i="2"/>
  <c r="M89" i="2"/>
  <c r="N89" i="2" s="1"/>
  <c r="L89" i="2"/>
  <c r="K89" i="2"/>
  <c r="J89" i="2"/>
  <c r="I89" i="2"/>
  <c r="U89" i="2" s="1" a="1"/>
  <c r="O88" i="2"/>
  <c r="M88" i="2"/>
  <c r="N88" i="2" s="1"/>
  <c r="L88" i="2"/>
  <c r="K88" i="2"/>
  <c r="J88" i="2"/>
  <c r="I88" i="2"/>
  <c r="U88" i="2" s="1" a="1"/>
  <c r="O87" i="2"/>
  <c r="M87" i="2"/>
  <c r="N87" i="2" s="1"/>
  <c r="L87" i="2"/>
  <c r="K87" i="2"/>
  <c r="J87" i="2"/>
  <c r="I87" i="2"/>
  <c r="U87" i="2" s="1" a="1"/>
  <c r="O86" i="2"/>
  <c r="M86" i="2"/>
  <c r="N86" i="2" s="1"/>
  <c r="L86" i="2"/>
  <c r="K86" i="2"/>
  <c r="J86" i="2"/>
  <c r="I86" i="2"/>
  <c r="U86" i="2" s="1" a="1"/>
  <c r="O85" i="2"/>
  <c r="M85" i="2"/>
  <c r="N85" i="2" s="1"/>
  <c r="L85" i="2"/>
  <c r="K85" i="2"/>
  <c r="J85" i="2"/>
  <c r="I85" i="2"/>
  <c r="U85" i="2" s="1" a="1"/>
  <c r="O84" i="2"/>
  <c r="M84" i="2"/>
  <c r="N84" i="2" s="1"/>
  <c r="L84" i="2"/>
  <c r="K84" i="2"/>
  <c r="J84" i="2"/>
  <c r="I84" i="2"/>
  <c r="U84" i="2" s="1" a="1"/>
  <c r="O83" i="2"/>
  <c r="M83" i="2"/>
  <c r="N83" i="2" s="1"/>
  <c r="L83" i="2"/>
  <c r="K83" i="2"/>
  <c r="J83" i="2"/>
  <c r="I83" i="2"/>
  <c r="U83" i="2" s="1" a="1"/>
  <c r="O82" i="2"/>
  <c r="M82" i="2"/>
  <c r="N82" i="2" s="1"/>
  <c r="L82" i="2"/>
  <c r="K82" i="2"/>
  <c r="J82" i="2"/>
  <c r="I82" i="2"/>
  <c r="U82" i="2" s="1" a="1"/>
  <c r="O81" i="2"/>
  <c r="M81" i="2"/>
  <c r="N81" i="2" s="1"/>
  <c r="L81" i="2"/>
  <c r="K81" i="2"/>
  <c r="J81" i="2"/>
  <c r="I81" i="2"/>
  <c r="U81" i="2" s="1" a="1"/>
  <c r="O80" i="2"/>
  <c r="M80" i="2"/>
  <c r="N80" i="2" s="1"/>
  <c r="L80" i="2"/>
  <c r="K80" i="2"/>
  <c r="J80" i="2"/>
  <c r="I80" i="2"/>
  <c r="U80" i="2" s="1" a="1"/>
  <c r="O79" i="2"/>
  <c r="M79" i="2"/>
  <c r="N79" i="2" s="1"/>
  <c r="L79" i="2"/>
  <c r="K79" i="2"/>
  <c r="J79" i="2"/>
  <c r="I79" i="2"/>
  <c r="U79" i="2" s="1" a="1"/>
  <c r="O78" i="2"/>
  <c r="M78" i="2"/>
  <c r="N78" i="2" s="1"/>
  <c r="L78" i="2"/>
  <c r="K78" i="2"/>
  <c r="J78" i="2"/>
  <c r="I78" i="2"/>
  <c r="U78" i="2" s="1" a="1"/>
  <c r="O77" i="2"/>
  <c r="M77" i="2"/>
  <c r="N77" i="2" s="1"/>
  <c r="L77" i="2"/>
  <c r="K77" i="2"/>
  <c r="J77" i="2"/>
  <c r="I77" i="2"/>
  <c r="U77" i="2" s="1" a="1"/>
  <c r="O76" i="2"/>
  <c r="M76" i="2"/>
  <c r="N76" i="2" s="1"/>
  <c r="L76" i="2"/>
  <c r="K76" i="2"/>
  <c r="J76" i="2"/>
  <c r="I76" i="2"/>
  <c r="U76" i="2" s="1" a="1"/>
  <c r="O75" i="2"/>
  <c r="M75" i="2"/>
  <c r="N75" i="2" s="1"/>
  <c r="L75" i="2"/>
  <c r="K75" i="2"/>
  <c r="J75" i="2"/>
  <c r="I75" i="2"/>
  <c r="U75" i="2" s="1" a="1"/>
  <c r="O74" i="2"/>
  <c r="M74" i="2"/>
  <c r="N74" i="2" s="1"/>
  <c r="L74" i="2"/>
  <c r="K74" i="2"/>
  <c r="J74" i="2"/>
  <c r="I74" i="2"/>
  <c r="U74" i="2" s="1" a="1"/>
  <c r="O73" i="2"/>
  <c r="M73" i="2"/>
  <c r="N73" i="2" s="1"/>
  <c r="L73" i="2"/>
  <c r="K73" i="2"/>
  <c r="J73" i="2"/>
  <c r="I73" i="2"/>
  <c r="U73" i="2" s="1" a="1"/>
  <c r="O72" i="2"/>
  <c r="M72" i="2"/>
  <c r="N72" i="2" s="1"/>
  <c r="L72" i="2"/>
  <c r="K72" i="2"/>
  <c r="J72" i="2"/>
  <c r="I72" i="2"/>
  <c r="U72" i="2" s="1" a="1"/>
  <c r="O71" i="2"/>
  <c r="M71" i="2"/>
  <c r="N71" i="2" s="1"/>
  <c r="L71" i="2"/>
  <c r="K71" i="2"/>
  <c r="J71" i="2"/>
  <c r="I71" i="2"/>
  <c r="U71" i="2" s="1" a="1"/>
  <c r="O70" i="2"/>
  <c r="M70" i="2"/>
  <c r="N70" i="2" s="1"/>
  <c r="L70" i="2"/>
  <c r="K70" i="2"/>
  <c r="J70" i="2"/>
  <c r="I70" i="2"/>
  <c r="U70" i="2" s="1" a="1"/>
  <c r="O69" i="2"/>
  <c r="M69" i="2"/>
  <c r="N69" i="2" s="1"/>
  <c r="L69" i="2"/>
  <c r="K69" i="2"/>
  <c r="J69" i="2"/>
  <c r="I69" i="2"/>
  <c r="U69" i="2" s="1" a="1"/>
  <c r="O68" i="2"/>
  <c r="M68" i="2"/>
  <c r="N68" i="2" s="1"/>
  <c r="L68" i="2"/>
  <c r="K68" i="2"/>
  <c r="J68" i="2"/>
  <c r="I68" i="2"/>
  <c r="O67" i="2"/>
  <c r="M67" i="2"/>
  <c r="N67" i="2" s="1"/>
  <c r="L67" i="2"/>
  <c r="K67" i="2"/>
  <c r="J67" i="2"/>
  <c r="I67" i="2"/>
  <c r="U67" i="2" s="1" a="1"/>
  <c r="O66" i="2"/>
  <c r="M66" i="2"/>
  <c r="N66" i="2" s="1"/>
  <c r="L66" i="2"/>
  <c r="K66" i="2"/>
  <c r="J66" i="2"/>
  <c r="I66" i="2"/>
  <c r="U66" i="2" s="1" a="1"/>
  <c r="O65" i="2"/>
  <c r="M65" i="2"/>
  <c r="N65" i="2" s="1"/>
  <c r="L65" i="2"/>
  <c r="K65" i="2"/>
  <c r="J65" i="2"/>
  <c r="I65" i="2"/>
  <c r="U65" i="2" s="1" a="1"/>
  <c r="O64" i="2"/>
  <c r="M64" i="2"/>
  <c r="N64" i="2" s="1"/>
  <c r="L64" i="2"/>
  <c r="K64" i="2"/>
  <c r="J64" i="2"/>
  <c r="I64" i="2"/>
  <c r="U64" i="2" s="1" a="1"/>
  <c r="O63" i="2"/>
  <c r="M63" i="2"/>
  <c r="N63" i="2" s="1"/>
  <c r="L63" i="2"/>
  <c r="K63" i="2"/>
  <c r="J63" i="2"/>
  <c r="I63" i="2"/>
  <c r="U63" i="2" s="1" a="1"/>
  <c r="O62" i="2"/>
  <c r="M62" i="2"/>
  <c r="N62" i="2" s="1"/>
  <c r="L62" i="2"/>
  <c r="K62" i="2"/>
  <c r="J62" i="2"/>
  <c r="I62" i="2"/>
  <c r="U62" i="2" s="1" a="1"/>
  <c r="O61" i="2"/>
  <c r="M61" i="2"/>
  <c r="N61" i="2" s="1"/>
  <c r="L61" i="2"/>
  <c r="K61" i="2"/>
  <c r="J61" i="2"/>
  <c r="I61" i="2"/>
  <c r="U61" i="2" s="1" a="1"/>
  <c r="O60" i="2"/>
  <c r="M60" i="2"/>
  <c r="N60" i="2" s="1"/>
  <c r="L60" i="2"/>
  <c r="K60" i="2"/>
  <c r="J60" i="2"/>
  <c r="I60" i="2"/>
  <c r="U60" i="2" s="1" a="1"/>
  <c r="O59" i="2"/>
  <c r="M59" i="2"/>
  <c r="N59" i="2" s="1"/>
  <c r="L59" i="2"/>
  <c r="K59" i="2"/>
  <c r="J59" i="2"/>
  <c r="I59" i="2"/>
  <c r="U59" i="2" s="1" a="1"/>
  <c r="O58" i="2"/>
  <c r="M58" i="2"/>
  <c r="N58" i="2" s="1"/>
  <c r="L58" i="2"/>
  <c r="K58" i="2"/>
  <c r="J58" i="2"/>
  <c r="I58" i="2"/>
  <c r="U58" i="2" s="1" a="1"/>
  <c r="O57" i="2"/>
  <c r="M57" i="2"/>
  <c r="N57" i="2" s="1"/>
  <c r="L57" i="2"/>
  <c r="K57" i="2"/>
  <c r="J57" i="2"/>
  <c r="I57" i="2"/>
  <c r="U57" i="2" s="1" a="1"/>
  <c r="O56" i="2"/>
  <c r="M56" i="2"/>
  <c r="N56" i="2" s="1"/>
  <c r="L56" i="2"/>
  <c r="K56" i="2"/>
  <c r="J56" i="2"/>
  <c r="I56" i="2"/>
  <c r="U56" i="2" s="1" a="1"/>
  <c r="O55" i="2"/>
  <c r="M55" i="2"/>
  <c r="N55" i="2" s="1"/>
  <c r="L55" i="2"/>
  <c r="K55" i="2"/>
  <c r="J55" i="2"/>
  <c r="I55" i="2"/>
  <c r="U55" i="2" s="1" a="1"/>
  <c r="O54" i="2"/>
  <c r="M54" i="2"/>
  <c r="N54" i="2" s="1"/>
  <c r="L54" i="2"/>
  <c r="K54" i="2"/>
  <c r="J54" i="2"/>
  <c r="I54" i="2"/>
  <c r="U54" i="2" s="1" a="1"/>
  <c r="O53" i="2"/>
  <c r="M53" i="2"/>
  <c r="N53" i="2" s="1"/>
  <c r="L53" i="2"/>
  <c r="K53" i="2"/>
  <c r="J53" i="2"/>
  <c r="I53" i="2"/>
  <c r="U53" i="2" s="1" a="1"/>
  <c r="O52" i="2"/>
  <c r="M52" i="2"/>
  <c r="N52" i="2" s="1"/>
  <c r="L52" i="2"/>
  <c r="K52" i="2"/>
  <c r="J52" i="2"/>
  <c r="I52" i="2"/>
  <c r="U52" i="2" s="1" a="1"/>
  <c r="O51" i="2"/>
  <c r="M51" i="2"/>
  <c r="N51" i="2" s="1"/>
  <c r="L51" i="2"/>
  <c r="K51" i="2"/>
  <c r="J51" i="2"/>
  <c r="I51" i="2"/>
  <c r="U51" i="2" s="1" a="1"/>
  <c r="O50" i="2"/>
  <c r="M50" i="2"/>
  <c r="N50" i="2" s="1"/>
  <c r="L50" i="2"/>
  <c r="K50" i="2"/>
  <c r="J50" i="2"/>
  <c r="I50" i="2"/>
  <c r="U50" i="2" s="1" a="1"/>
  <c r="O49" i="2"/>
  <c r="M49" i="2"/>
  <c r="N49" i="2" s="1"/>
  <c r="L49" i="2"/>
  <c r="K49" i="2"/>
  <c r="J49" i="2"/>
  <c r="I49" i="2"/>
  <c r="U49" i="2" s="1" a="1"/>
  <c r="O48" i="2"/>
  <c r="M48" i="2"/>
  <c r="N48" i="2" s="1"/>
  <c r="L48" i="2"/>
  <c r="K48" i="2"/>
  <c r="J48" i="2"/>
  <c r="I48" i="2"/>
  <c r="U48" i="2" s="1" a="1"/>
  <c r="O47" i="2"/>
  <c r="M47" i="2"/>
  <c r="N47" i="2" s="1"/>
  <c r="L47" i="2"/>
  <c r="K47" i="2"/>
  <c r="J47" i="2"/>
  <c r="I47" i="2"/>
  <c r="U47" i="2" s="1" a="1"/>
  <c r="O46" i="2"/>
  <c r="M46" i="2"/>
  <c r="N46" i="2" s="1"/>
  <c r="L46" i="2"/>
  <c r="K46" i="2"/>
  <c r="J46" i="2"/>
  <c r="I46" i="2"/>
  <c r="U46" i="2" s="1" a="1"/>
  <c r="O45" i="2"/>
  <c r="M45" i="2"/>
  <c r="N45" i="2" s="1"/>
  <c r="L45" i="2"/>
  <c r="K45" i="2"/>
  <c r="J45" i="2"/>
  <c r="I45" i="2"/>
  <c r="U45" i="2" s="1" a="1"/>
  <c r="O44" i="2"/>
  <c r="M44" i="2"/>
  <c r="N44" i="2" s="1"/>
  <c r="L44" i="2"/>
  <c r="K44" i="2"/>
  <c r="J44" i="2"/>
  <c r="I44" i="2"/>
  <c r="U44" i="2" s="1" a="1"/>
  <c r="O43" i="2"/>
  <c r="M43" i="2"/>
  <c r="N43" i="2" s="1"/>
  <c r="L43" i="2"/>
  <c r="K43" i="2"/>
  <c r="J43" i="2"/>
  <c r="I43" i="2"/>
  <c r="U43" i="2" s="1" a="1"/>
  <c r="O42" i="2"/>
  <c r="M42" i="2"/>
  <c r="N42" i="2" s="1"/>
  <c r="L42" i="2"/>
  <c r="K42" i="2"/>
  <c r="J42" i="2"/>
  <c r="I42" i="2"/>
  <c r="U42" i="2" s="1" a="1"/>
  <c r="O41" i="2"/>
  <c r="M41" i="2"/>
  <c r="N41" i="2" s="1"/>
  <c r="L41" i="2"/>
  <c r="K41" i="2"/>
  <c r="J41" i="2"/>
  <c r="I41" i="2"/>
  <c r="U41" i="2" s="1" a="1"/>
  <c r="O40" i="2"/>
  <c r="M40" i="2"/>
  <c r="N40" i="2" s="1"/>
  <c r="L40" i="2"/>
  <c r="K40" i="2"/>
  <c r="J40" i="2"/>
  <c r="I40" i="2"/>
  <c r="U40" i="2" s="1" a="1"/>
  <c r="O39" i="2"/>
  <c r="M39" i="2"/>
  <c r="N39" i="2" s="1"/>
  <c r="L39" i="2"/>
  <c r="K39" i="2"/>
  <c r="J39" i="2"/>
  <c r="I39" i="2"/>
  <c r="U39" i="2" s="1" a="1"/>
  <c r="O38" i="2"/>
  <c r="M38" i="2"/>
  <c r="N38" i="2" s="1"/>
  <c r="L38" i="2"/>
  <c r="K38" i="2"/>
  <c r="J38" i="2"/>
  <c r="I38" i="2"/>
  <c r="U38" i="2" s="1" a="1"/>
  <c r="O37" i="2"/>
  <c r="M37" i="2"/>
  <c r="N37" i="2" s="1"/>
  <c r="L37" i="2"/>
  <c r="K37" i="2"/>
  <c r="J37" i="2"/>
  <c r="I37" i="2"/>
  <c r="U37" i="2" s="1" a="1"/>
  <c r="O36" i="2"/>
  <c r="M36" i="2"/>
  <c r="N36" i="2" s="1"/>
  <c r="L36" i="2"/>
  <c r="K36" i="2"/>
  <c r="J36" i="2"/>
  <c r="I36" i="2"/>
  <c r="U36" i="2" s="1" a="1"/>
  <c r="O35" i="2"/>
  <c r="M35" i="2"/>
  <c r="N35" i="2" s="1"/>
  <c r="L35" i="2"/>
  <c r="K35" i="2"/>
  <c r="J35" i="2"/>
  <c r="I35" i="2"/>
  <c r="U35" i="2" s="1" a="1"/>
  <c r="O34" i="2"/>
  <c r="M34" i="2"/>
  <c r="N34" i="2" s="1"/>
  <c r="L34" i="2"/>
  <c r="K34" i="2"/>
  <c r="J34" i="2"/>
  <c r="I34" i="2"/>
  <c r="U34" i="2" s="1" a="1"/>
  <c r="O33" i="2"/>
  <c r="M33" i="2"/>
  <c r="N33" i="2" s="1"/>
  <c r="L33" i="2"/>
  <c r="K33" i="2"/>
  <c r="J33" i="2"/>
  <c r="I33" i="2"/>
  <c r="U33" i="2" s="1" a="1"/>
  <c r="O32" i="2"/>
  <c r="M32" i="2"/>
  <c r="N32" i="2" s="1"/>
  <c r="L32" i="2"/>
  <c r="K32" i="2"/>
  <c r="J32" i="2"/>
  <c r="I32" i="2"/>
  <c r="U32" i="2" s="1" a="1"/>
  <c r="O31" i="2"/>
  <c r="M31" i="2"/>
  <c r="N31" i="2" s="1"/>
  <c r="L31" i="2"/>
  <c r="K31" i="2"/>
  <c r="J31" i="2"/>
  <c r="I31" i="2"/>
  <c r="U31" i="2" s="1" a="1"/>
  <c r="O30" i="2"/>
  <c r="M30" i="2"/>
  <c r="N30" i="2" s="1"/>
  <c r="L30" i="2"/>
  <c r="K30" i="2"/>
  <c r="J30" i="2"/>
  <c r="I30" i="2"/>
  <c r="U30" i="2" s="1" a="1"/>
  <c r="O29" i="2"/>
  <c r="M29" i="2"/>
  <c r="N29" i="2" s="1"/>
  <c r="L29" i="2"/>
  <c r="K29" i="2"/>
  <c r="J29" i="2"/>
  <c r="I29" i="2"/>
  <c r="U29" i="2" s="1" a="1"/>
  <c r="O28" i="2"/>
  <c r="M28" i="2"/>
  <c r="N28" i="2" s="1"/>
  <c r="L28" i="2"/>
  <c r="K28" i="2"/>
  <c r="J28" i="2"/>
  <c r="I28" i="2"/>
  <c r="U28" i="2" s="1" a="1"/>
  <c r="O27" i="2"/>
  <c r="M27" i="2"/>
  <c r="N27" i="2" s="1"/>
  <c r="L27" i="2"/>
  <c r="K27" i="2"/>
  <c r="J27" i="2"/>
  <c r="I27" i="2"/>
  <c r="U27" i="2" s="1" a="1"/>
  <c r="O26" i="2"/>
  <c r="M26" i="2"/>
  <c r="N26" i="2" s="1"/>
  <c r="L26" i="2"/>
  <c r="K26" i="2"/>
  <c r="J26" i="2"/>
  <c r="I26" i="2"/>
  <c r="U26" i="2" s="1" a="1"/>
  <c r="O25" i="2"/>
  <c r="M25" i="2"/>
  <c r="N25" i="2" s="1"/>
  <c r="L25" i="2"/>
  <c r="K25" i="2"/>
  <c r="J25" i="2"/>
  <c r="I25" i="2"/>
  <c r="U25" i="2" s="1" a="1"/>
  <c r="O24" i="2"/>
  <c r="M24" i="2"/>
  <c r="N24" i="2" s="1"/>
  <c r="L24" i="2"/>
  <c r="K24" i="2"/>
  <c r="J24" i="2"/>
  <c r="I24" i="2"/>
  <c r="U24" i="2" s="1" a="1"/>
  <c r="O23" i="2"/>
  <c r="M23" i="2"/>
  <c r="N23" i="2" s="1"/>
  <c r="L23" i="2"/>
  <c r="K23" i="2"/>
  <c r="J23" i="2"/>
  <c r="I23" i="2"/>
  <c r="U23" i="2" s="1" a="1"/>
  <c r="O22" i="2"/>
  <c r="M22" i="2"/>
  <c r="N22" i="2" s="1"/>
  <c r="L22" i="2"/>
  <c r="K22" i="2"/>
  <c r="J22" i="2"/>
  <c r="I22" i="2"/>
  <c r="U22" i="2" s="1" a="1"/>
  <c r="O21" i="2"/>
  <c r="M21" i="2"/>
  <c r="N21" i="2" s="1"/>
  <c r="L21" i="2"/>
  <c r="K21" i="2"/>
  <c r="J21" i="2"/>
  <c r="I21" i="2"/>
  <c r="U21" i="2" s="1" a="1"/>
  <c r="O20" i="2"/>
  <c r="M20" i="2"/>
  <c r="N20" i="2" s="1"/>
  <c r="L20" i="2"/>
  <c r="K20" i="2"/>
  <c r="J20" i="2"/>
  <c r="I20" i="2"/>
  <c r="U20" i="2" s="1" a="1"/>
  <c r="O19" i="2"/>
  <c r="M19" i="2"/>
  <c r="N19" i="2" s="1"/>
  <c r="L19" i="2"/>
  <c r="K19" i="2"/>
  <c r="J19" i="2"/>
  <c r="I19" i="2"/>
  <c r="U19" i="2" s="1" a="1"/>
  <c r="O18" i="2"/>
  <c r="M18" i="2"/>
  <c r="N18" i="2" s="1"/>
  <c r="L18" i="2"/>
  <c r="K18" i="2"/>
  <c r="J18" i="2"/>
  <c r="I18" i="2"/>
  <c r="U18" i="2" s="1" a="1"/>
  <c r="O17" i="2"/>
  <c r="M17" i="2"/>
  <c r="N17" i="2" s="1"/>
  <c r="L17" i="2"/>
  <c r="K17" i="2"/>
  <c r="J17" i="2"/>
  <c r="I17" i="2"/>
  <c r="U17" i="2" s="1" a="1"/>
  <c r="O16" i="2"/>
  <c r="M16" i="2"/>
  <c r="N16" i="2" s="1"/>
  <c r="L16" i="2"/>
  <c r="K16" i="2"/>
  <c r="J16" i="2"/>
  <c r="I16" i="2"/>
  <c r="U16" i="2" s="1" a="1"/>
  <c r="O15" i="2"/>
  <c r="M15" i="2"/>
  <c r="N15" i="2" s="1"/>
  <c r="L15" i="2"/>
  <c r="K15" i="2"/>
  <c r="J15" i="2"/>
  <c r="I15" i="2"/>
  <c r="U15" i="2" s="1" a="1"/>
  <c r="O14" i="2"/>
  <c r="M14" i="2"/>
  <c r="N14" i="2" s="1"/>
  <c r="L14" i="2"/>
  <c r="K14" i="2"/>
  <c r="J14" i="2"/>
  <c r="I14" i="2"/>
  <c r="U14" i="2" s="1" a="1"/>
  <c r="O13" i="2"/>
  <c r="M13" i="2"/>
  <c r="N13" i="2" s="1"/>
  <c r="L13" i="2"/>
  <c r="K13" i="2"/>
  <c r="J13" i="2"/>
  <c r="I13" i="2"/>
  <c r="U13" i="2" s="1" a="1"/>
  <c r="O12" i="2"/>
  <c r="M12" i="2"/>
  <c r="N12" i="2" s="1"/>
  <c r="L12" i="2"/>
  <c r="K12" i="2"/>
  <c r="J12" i="2"/>
  <c r="I12" i="2"/>
  <c r="U12" i="2" s="1" a="1"/>
  <c r="O11" i="2"/>
  <c r="M11" i="2"/>
  <c r="N11" i="2" s="1"/>
  <c r="L11" i="2"/>
  <c r="K11" i="2"/>
  <c r="J11" i="2"/>
  <c r="I11" i="2"/>
  <c r="U11" i="2" s="1" a="1"/>
  <c r="O10" i="2"/>
  <c r="M10" i="2"/>
  <c r="N10" i="2" s="1"/>
  <c r="L10" i="2"/>
  <c r="K10" i="2"/>
  <c r="J10" i="2"/>
  <c r="I10" i="2"/>
  <c r="O9" i="2"/>
  <c r="M9" i="2"/>
  <c r="N9" i="2" s="1"/>
  <c r="L9" i="2"/>
  <c r="K9" i="2"/>
  <c r="J9" i="2"/>
  <c r="I9" i="2"/>
  <c r="U9" i="2" s="1" a="1"/>
  <c r="O8" i="2"/>
  <c r="M8" i="2"/>
  <c r="N8" i="2" s="1"/>
  <c r="L8" i="2"/>
  <c r="K8" i="2"/>
  <c r="J8" i="2"/>
  <c r="I8" i="2"/>
  <c r="U8" i="2" s="1" a="1"/>
  <c r="O7" i="2"/>
  <c r="M7" i="2"/>
  <c r="N7" i="2" s="1"/>
  <c r="L7" i="2"/>
  <c r="K7" i="2"/>
  <c r="J7" i="2"/>
  <c r="I7" i="2"/>
  <c r="U7" i="2" s="1" a="1"/>
  <c r="O6" i="2"/>
  <c r="M6" i="2"/>
  <c r="N6" i="2" s="1"/>
  <c r="L6" i="2"/>
  <c r="K6" i="2"/>
  <c r="J6" i="2"/>
  <c r="I6" i="2"/>
  <c r="U6" i="2" s="1" a="1"/>
  <c r="O5" i="2"/>
  <c r="M5" i="2"/>
  <c r="N5" i="2" s="1"/>
  <c r="L5" i="2"/>
  <c r="K5" i="2"/>
  <c r="J5" i="2"/>
  <c r="I5" i="2"/>
  <c r="U5" i="2" s="1" a="1"/>
  <c r="O4" i="2"/>
  <c r="M4" i="2"/>
  <c r="N4" i="2" s="1"/>
  <c r="L4" i="2"/>
  <c r="K4" i="2"/>
  <c r="J4" i="2"/>
  <c r="I4" i="2"/>
  <c r="U4" i="2" s="1" a="1"/>
  <c r="O3" i="2"/>
  <c r="M3" i="2"/>
  <c r="N3" i="2" s="1"/>
  <c r="L3" i="2"/>
  <c r="K3" i="2"/>
  <c r="J3" i="2"/>
  <c r="I3" i="2"/>
  <c r="U3" i="2" s="1" a="1"/>
  <c r="O2" i="2"/>
  <c r="G128" i="6" s="1"/>
  <c r="M2" i="2"/>
  <c r="N2" i="2" s="1"/>
  <c r="L2" i="2"/>
  <c r="K2" i="2"/>
  <c r="J2" i="2"/>
  <c r="I2" i="2"/>
  <c r="C118" i="6"/>
  <c r="C113" i="6"/>
  <c r="R43" i="6"/>
  <c r="Q43" i="6"/>
  <c r="P43" i="6"/>
  <c r="R42" i="6"/>
  <c r="Q42" i="6"/>
  <c r="P42" i="6"/>
  <c r="R41" i="6"/>
  <c r="Q41" i="6"/>
  <c r="P41" i="6"/>
  <c r="R40" i="6"/>
  <c r="Q40" i="6"/>
  <c r="P40" i="6"/>
  <c r="R39" i="6"/>
  <c r="Q39" i="6"/>
  <c r="P39" i="6"/>
  <c r="R38" i="6"/>
  <c r="Q38" i="6"/>
  <c r="P38" i="6"/>
  <c r="R37" i="6"/>
  <c r="Q37" i="6"/>
  <c r="P37" i="6"/>
  <c r="R36" i="6"/>
  <c r="Q36" i="6"/>
  <c r="P36" i="6"/>
  <c r="R35" i="6"/>
  <c r="Q35" i="6"/>
  <c r="P35" i="6"/>
  <c r="R34" i="6"/>
  <c r="Q34" i="6"/>
  <c r="P34" i="6"/>
  <c r="R33" i="6"/>
  <c r="Q33" i="6"/>
  <c r="P33" i="6"/>
  <c r="R32" i="6"/>
  <c r="Q32" i="6"/>
  <c r="P32" i="6"/>
  <c r="R31" i="6"/>
  <c r="Q31" i="6"/>
  <c r="P31" i="6"/>
  <c r="R30" i="6"/>
  <c r="Q30" i="6"/>
  <c r="P30" i="6"/>
  <c r="R29" i="6"/>
  <c r="Q29" i="6"/>
  <c r="P29" i="6"/>
  <c r="D28" i="6"/>
  <c r="C28" i="6"/>
  <c r="D27" i="6"/>
  <c r="C27" i="6"/>
  <c r="D26" i="6"/>
  <c r="D29" i="6" s="1"/>
  <c r="C26" i="6"/>
  <c r="C29" i="6" s="1"/>
  <c r="Q12" i="6"/>
  <c r="Q8" i="6"/>
  <c r="U168" i="2" l="1" a="1"/>
  <c r="U135" i="2" a="1"/>
  <c r="U101" i="2" a="1"/>
  <c r="U68" i="2" a="1"/>
  <c r="Q175" i="2"/>
  <c r="P175" i="2"/>
  <c r="D115" i="6"/>
  <c r="E115" i="6"/>
  <c r="D114" i="6"/>
  <c r="E114" i="6"/>
  <c r="N168" i="2"/>
  <c r="C117" i="6"/>
  <c r="R147" i="2"/>
  <c r="S147" i="2"/>
  <c r="T147" i="2" s="1"/>
  <c r="C120" i="6"/>
  <c r="C121" i="6"/>
  <c r="R100" i="2"/>
  <c r="S100" i="2"/>
  <c r="T100" i="2" s="1"/>
  <c r="C116" i="6"/>
  <c r="C122" i="6"/>
  <c r="P47" i="2"/>
  <c r="Q47" i="2"/>
  <c r="S43" i="2"/>
  <c r="R43" i="2"/>
  <c r="T43" i="2" s="1"/>
  <c r="Q10" i="2"/>
  <c r="P10" i="2"/>
  <c r="G131" i="6"/>
  <c r="E118" i="6"/>
  <c r="D118" i="6"/>
  <c r="E113" i="6"/>
  <c r="D113" i="6"/>
  <c r="R12" i="6"/>
  <c r="S12" i="6" s="1"/>
  <c r="Q13" i="6"/>
  <c r="D65" i="6"/>
  <c r="C64" i="6"/>
  <c r="I63" i="6"/>
  <c r="C63" i="6"/>
  <c r="I62" i="6"/>
  <c r="K11" i="6"/>
  <c r="M12" i="6" s="1"/>
  <c r="E11" i="6"/>
  <c r="C65" i="6"/>
  <c r="I64" i="6"/>
  <c r="D64" i="6"/>
  <c r="D63" i="6"/>
  <c r="D62" i="6"/>
  <c r="D66" i="6" s="1"/>
  <c r="C62" i="6"/>
  <c r="C66" i="6" s="1"/>
  <c r="Q9" i="6"/>
  <c r="K7" i="6"/>
  <c r="S43" i="6"/>
  <c r="S42" i="6"/>
  <c r="S41" i="6"/>
  <c r="S40" i="6"/>
  <c r="S39" i="6"/>
  <c r="S38" i="6"/>
  <c r="S37" i="6"/>
  <c r="S36" i="6"/>
  <c r="S35" i="6"/>
  <c r="S33" i="6"/>
  <c r="S32" i="6"/>
  <c r="S31" i="6"/>
  <c r="S30" i="6"/>
  <c r="S29" i="6"/>
  <c r="I65" i="6"/>
  <c r="S34" i="6"/>
  <c r="R201" i="2"/>
  <c r="S201" i="2"/>
  <c r="Q201" i="2"/>
  <c r="P201" i="2"/>
  <c r="R200" i="2"/>
  <c r="S200" i="2"/>
  <c r="P200" i="2"/>
  <c r="Q200" i="2"/>
  <c r="S199" i="2"/>
  <c r="R199" i="2"/>
  <c r="T199" i="2" s="1"/>
  <c r="P199" i="2"/>
  <c r="Q199" i="2"/>
  <c r="R198" i="2"/>
  <c r="S198" i="2"/>
  <c r="Q198" i="2"/>
  <c r="P198" i="2"/>
  <c r="S197" i="2"/>
  <c r="R197" i="2"/>
  <c r="T197" i="2" s="1"/>
  <c r="Q197" i="2"/>
  <c r="P197" i="2"/>
  <c r="S196" i="2"/>
  <c r="R196" i="2"/>
  <c r="T196" i="2" s="1"/>
  <c r="Q196" i="2"/>
  <c r="P196" i="2"/>
  <c r="S195" i="2"/>
  <c r="R195" i="2"/>
  <c r="T195" i="2" s="1"/>
  <c r="Q195" i="2"/>
  <c r="P195" i="2"/>
  <c r="S194" i="2"/>
  <c r="R194" i="2"/>
  <c r="T194" i="2" s="1"/>
  <c r="Q194" i="2"/>
  <c r="P194" i="2"/>
  <c r="R193" i="2"/>
  <c r="S193" i="2"/>
  <c r="P193" i="2"/>
  <c r="Q193" i="2"/>
  <c r="R192" i="2"/>
  <c r="S192" i="2"/>
  <c r="Q192" i="2"/>
  <c r="P192" i="2"/>
  <c r="S191" i="2"/>
  <c r="R191" i="2"/>
  <c r="T191" i="2" s="1"/>
  <c r="Q191" i="2"/>
  <c r="P191" i="2"/>
  <c r="S190" i="2"/>
  <c r="R190" i="2"/>
  <c r="T190" i="2" s="1"/>
  <c r="Q190" i="2"/>
  <c r="P190" i="2"/>
  <c r="S189" i="2"/>
  <c r="R189" i="2"/>
  <c r="T189" i="2" s="1"/>
  <c r="Q189" i="2"/>
  <c r="P189" i="2"/>
  <c r="S188" i="2"/>
  <c r="R188" i="2"/>
  <c r="T188" i="2" s="1"/>
  <c r="Q188" i="2"/>
  <c r="P188" i="2"/>
  <c r="R187" i="2"/>
  <c r="S187" i="2"/>
  <c r="Q187" i="2"/>
  <c r="P187" i="2"/>
  <c r="S186" i="2"/>
  <c r="R186" i="2"/>
  <c r="T186" i="2" s="1"/>
  <c r="Q186" i="2"/>
  <c r="P186" i="2"/>
  <c r="S185" i="2"/>
  <c r="R185" i="2"/>
  <c r="T185" i="2" s="1"/>
  <c r="Q185" i="2"/>
  <c r="P185" i="2"/>
  <c r="S184" i="2"/>
  <c r="R184" i="2"/>
  <c r="T184" i="2" s="1"/>
  <c r="Q184" i="2"/>
  <c r="P184" i="2"/>
  <c r="S183" i="2"/>
  <c r="R183" i="2"/>
  <c r="Q183" i="2"/>
  <c r="P183" i="2"/>
  <c r="R182" i="2"/>
  <c r="S182" i="2"/>
  <c r="Q182" i="2"/>
  <c r="P182" i="2"/>
  <c r="S181" i="2"/>
  <c r="R181" i="2"/>
  <c r="T181" i="2" s="1"/>
  <c r="Q181" i="2"/>
  <c r="P181" i="2"/>
  <c r="S180" i="2"/>
  <c r="R180" i="2"/>
  <c r="T180" i="2" s="1"/>
  <c r="P180" i="2"/>
  <c r="Q180" i="2"/>
  <c r="S179" i="2"/>
  <c r="R179" i="2"/>
  <c r="T179" i="2" s="1"/>
  <c r="P179" i="2"/>
  <c r="Q179" i="2"/>
  <c r="S178" i="2"/>
  <c r="R178" i="2"/>
  <c r="Q178" i="2"/>
  <c r="P178" i="2"/>
  <c r="R177" i="2"/>
  <c r="S177" i="2"/>
  <c r="Q177" i="2"/>
  <c r="P177" i="2"/>
  <c r="S176" i="2"/>
  <c r="R176" i="2"/>
  <c r="T176" i="2" s="1"/>
  <c r="Q176" i="2"/>
  <c r="P176" i="2"/>
  <c r="U175" i="2" a="1"/>
  <c r="S175" i="2"/>
  <c r="R175" i="2"/>
  <c r="T175" i="2" s="1"/>
  <c r="S174" i="2"/>
  <c r="R174" i="2"/>
  <c r="T174" i="2" s="1"/>
  <c r="P174" i="2"/>
  <c r="Q174" i="2"/>
  <c r="R173" i="2"/>
  <c r="S173" i="2"/>
  <c r="P173" i="2"/>
  <c r="Q173" i="2"/>
  <c r="R172" i="2"/>
  <c r="S172" i="2"/>
  <c r="Q172" i="2"/>
  <c r="P172" i="2"/>
  <c r="S171" i="2"/>
  <c r="R171" i="2"/>
  <c r="T171" i="2" s="1"/>
  <c r="P171" i="2"/>
  <c r="Q171" i="2"/>
  <c r="R170" i="2"/>
  <c r="S170" i="2"/>
  <c r="P170" i="2"/>
  <c r="Q170" i="2"/>
  <c r="S169" i="2"/>
  <c r="R169" i="2"/>
  <c r="T169" i="2" s="1"/>
  <c r="Q169" i="2"/>
  <c r="P169" i="2"/>
  <c r="S168" i="2"/>
  <c r="R168" i="2"/>
  <c r="T168" i="2" s="1"/>
  <c r="P168" i="2"/>
  <c r="Q168" i="2"/>
  <c r="S167" i="2"/>
  <c r="R167" i="2"/>
  <c r="T167" i="2" s="1"/>
  <c r="Q167" i="2"/>
  <c r="P167" i="2"/>
  <c r="R166" i="2"/>
  <c r="S166" i="2"/>
  <c r="P166" i="2"/>
  <c r="Q166" i="2"/>
  <c r="S165" i="2"/>
  <c r="R165" i="2"/>
  <c r="T165" i="2" s="1"/>
  <c r="P165" i="2"/>
  <c r="Q165" i="2"/>
  <c r="S164" i="2"/>
  <c r="R164" i="2"/>
  <c r="T164" i="2" s="1"/>
  <c r="P164" i="2"/>
  <c r="Q164" i="2"/>
  <c r="R163" i="2"/>
  <c r="S163" i="2"/>
  <c r="P163" i="2"/>
  <c r="Q163" i="2"/>
  <c r="R162" i="2"/>
  <c r="S162" i="2"/>
  <c r="P162" i="2"/>
  <c r="Q162" i="2"/>
  <c r="S161" i="2"/>
  <c r="R161" i="2"/>
  <c r="T161" i="2" s="1"/>
  <c r="Q161" i="2"/>
  <c r="P161" i="2"/>
  <c r="R160" i="2"/>
  <c r="S160" i="2"/>
  <c r="Q160" i="2"/>
  <c r="P160" i="2"/>
  <c r="R159" i="2"/>
  <c r="S159" i="2"/>
  <c r="P159" i="2"/>
  <c r="Q159" i="2"/>
  <c r="S158" i="2"/>
  <c r="R158" i="2"/>
  <c r="T158" i="2" s="1"/>
  <c r="P158" i="2"/>
  <c r="Q158" i="2"/>
  <c r="S157" i="2"/>
  <c r="R157" i="2"/>
  <c r="T157" i="2" s="1"/>
  <c r="P157" i="2"/>
  <c r="Q157" i="2"/>
  <c r="R156" i="2"/>
  <c r="S156" i="2"/>
  <c r="Q156" i="2"/>
  <c r="P156" i="2"/>
  <c r="R155" i="2"/>
  <c r="S155" i="2"/>
  <c r="P155" i="2"/>
  <c r="Q155" i="2"/>
  <c r="S154" i="2"/>
  <c r="R154" i="2"/>
  <c r="T154" i="2" s="1"/>
  <c r="P154" i="2"/>
  <c r="Q154" i="2"/>
  <c r="S153" i="2"/>
  <c r="R153" i="2"/>
  <c r="T153" i="2" s="1"/>
  <c r="P153" i="2"/>
  <c r="Q153" i="2"/>
  <c r="S152" i="2"/>
  <c r="R152" i="2"/>
  <c r="P152" i="2"/>
  <c r="Q152" i="2"/>
  <c r="R151" i="2"/>
  <c r="S151" i="2"/>
  <c r="P151" i="2"/>
  <c r="Q151" i="2"/>
  <c r="R150" i="2"/>
  <c r="S150" i="2"/>
  <c r="P150" i="2"/>
  <c r="Q150" i="2"/>
  <c r="S149" i="2"/>
  <c r="R149" i="2"/>
  <c r="T149" i="2" s="1"/>
  <c r="Q149" i="2"/>
  <c r="P149" i="2"/>
  <c r="R148" i="2"/>
  <c r="S148" i="2"/>
  <c r="Q148" i="2"/>
  <c r="P148" i="2"/>
  <c r="Q147" i="2"/>
  <c r="P147" i="2"/>
  <c r="R146" i="2"/>
  <c r="S146" i="2"/>
  <c r="P146" i="2"/>
  <c r="Q146" i="2"/>
  <c r="R145" i="2"/>
  <c r="S145" i="2"/>
  <c r="P145" i="2"/>
  <c r="Q145" i="2"/>
  <c r="R144" i="2"/>
  <c r="S144" i="2"/>
  <c r="Q144" i="2"/>
  <c r="P144" i="2"/>
  <c r="R143" i="2"/>
  <c r="S143" i="2"/>
  <c r="P143" i="2"/>
  <c r="Q143" i="2"/>
  <c r="R142" i="2"/>
  <c r="S142" i="2"/>
  <c r="Q142" i="2"/>
  <c r="P142" i="2"/>
  <c r="R141" i="2"/>
  <c r="S141" i="2"/>
  <c r="P141" i="2"/>
  <c r="Q141" i="2"/>
  <c r="R140" i="2"/>
  <c r="S140" i="2"/>
  <c r="Q140" i="2"/>
  <c r="P140" i="2"/>
  <c r="R139" i="2"/>
  <c r="S139" i="2"/>
  <c r="P139" i="2"/>
  <c r="Q139" i="2"/>
  <c r="S138" i="2"/>
  <c r="R138" i="2"/>
  <c r="T138" i="2" s="1"/>
  <c r="Q138" i="2"/>
  <c r="P138" i="2"/>
  <c r="S137" i="2"/>
  <c r="R137" i="2"/>
  <c r="T137" i="2" s="1"/>
  <c r="P137" i="2"/>
  <c r="Q137" i="2"/>
  <c r="S136" i="2"/>
  <c r="R136" i="2"/>
  <c r="T136" i="2" s="1"/>
  <c r="P136" i="2"/>
  <c r="Q136" i="2"/>
  <c r="R135" i="2"/>
  <c r="S135" i="2"/>
  <c r="P135" i="2"/>
  <c r="Q135" i="2"/>
  <c r="S134" i="2"/>
  <c r="R134" i="2"/>
  <c r="T134" i="2" s="1"/>
  <c r="Q134" i="2"/>
  <c r="P134" i="2"/>
  <c r="S133" i="2"/>
  <c r="R133" i="2"/>
  <c r="T133" i="2" s="1"/>
  <c r="Q133" i="2"/>
  <c r="P133" i="2"/>
  <c r="S132" i="2"/>
  <c r="R132" i="2"/>
  <c r="T132" i="2" s="1"/>
  <c r="Q132" i="2"/>
  <c r="P132" i="2"/>
  <c r="R131" i="2"/>
  <c r="S131" i="2"/>
  <c r="Q131" i="2"/>
  <c r="P131" i="2"/>
  <c r="S130" i="2"/>
  <c r="R130" i="2"/>
  <c r="T130" i="2" s="1"/>
  <c r="Q130" i="2"/>
  <c r="P130" i="2"/>
  <c r="S129" i="2"/>
  <c r="R129" i="2"/>
  <c r="T129" i="2" s="1"/>
  <c r="Q129" i="2"/>
  <c r="P129" i="2"/>
  <c r="S128" i="2"/>
  <c r="R128" i="2"/>
  <c r="T128" i="2" s="1"/>
  <c r="Q128" i="2"/>
  <c r="P128" i="2"/>
  <c r="S127" i="2"/>
  <c r="R127" i="2"/>
  <c r="T127" i="2" s="1"/>
  <c r="Q127" i="2"/>
  <c r="P127" i="2"/>
  <c r="R126" i="2"/>
  <c r="S126" i="2"/>
  <c r="Q126" i="2"/>
  <c r="P126" i="2"/>
  <c r="S125" i="2"/>
  <c r="R125" i="2"/>
  <c r="T125" i="2" s="1"/>
  <c r="Q125" i="2"/>
  <c r="P125" i="2"/>
  <c r="S124" i="2"/>
  <c r="R124" i="2"/>
  <c r="T124" i="2" s="1"/>
  <c r="Q124" i="2"/>
  <c r="P124" i="2"/>
  <c r="R123" i="2"/>
  <c r="S123" i="2"/>
  <c r="Q123" i="2"/>
  <c r="P123" i="2"/>
  <c r="S122" i="2"/>
  <c r="R122" i="2"/>
  <c r="T122" i="2" s="1"/>
  <c r="Q122" i="2"/>
  <c r="P122" i="2"/>
  <c r="S121" i="2"/>
  <c r="R121" i="2"/>
  <c r="T121" i="2" s="1"/>
  <c r="Q121" i="2"/>
  <c r="P121" i="2"/>
  <c r="S120" i="2"/>
  <c r="R120" i="2"/>
  <c r="T120" i="2" s="1"/>
  <c r="Q120" i="2"/>
  <c r="P120" i="2"/>
  <c r="R119" i="2"/>
  <c r="S119" i="2"/>
  <c r="P119" i="2"/>
  <c r="Q119" i="2"/>
  <c r="S118" i="2"/>
  <c r="R118" i="2"/>
  <c r="T118" i="2" s="1"/>
  <c r="P118" i="2"/>
  <c r="Q118" i="2"/>
  <c r="R117" i="2"/>
  <c r="S117" i="2"/>
  <c r="P117" i="2"/>
  <c r="Q117" i="2"/>
  <c r="R116" i="2"/>
  <c r="S116" i="2"/>
  <c r="P116" i="2"/>
  <c r="Q116" i="2"/>
  <c r="R115" i="2"/>
  <c r="S115" i="2"/>
  <c r="P115" i="2"/>
  <c r="Q115" i="2"/>
  <c r="R114" i="2"/>
  <c r="S114" i="2"/>
  <c r="Q114" i="2"/>
  <c r="P114" i="2"/>
  <c r="R113" i="2"/>
  <c r="S113" i="2"/>
  <c r="Q113" i="2"/>
  <c r="P113" i="2"/>
  <c r="S112" i="2"/>
  <c r="R112" i="2"/>
  <c r="T112" i="2" s="1"/>
  <c r="P112" i="2"/>
  <c r="Q112" i="2"/>
  <c r="R111" i="2"/>
  <c r="S111" i="2"/>
  <c r="Q111" i="2"/>
  <c r="P111" i="2"/>
  <c r="R110" i="2"/>
  <c r="S110" i="2"/>
  <c r="Q110" i="2"/>
  <c r="P110" i="2"/>
  <c r="R109" i="2"/>
  <c r="S109" i="2"/>
  <c r="P109" i="2"/>
  <c r="Q109" i="2"/>
  <c r="R108" i="2"/>
  <c r="S108" i="2"/>
  <c r="P108" i="2"/>
  <c r="Q108" i="2"/>
  <c r="S107" i="2"/>
  <c r="R107" i="2"/>
  <c r="T107" i="2" s="1"/>
  <c r="Q107" i="2"/>
  <c r="P107" i="2"/>
  <c r="R106" i="2"/>
  <c r="S106" i="2"/>
  <c r="P106" i="2"/>
  <c r="Q106" i="2"/>
  <c r="R105" i="2"/>
  <c r="S105" i="2"/>
  <c r="Q105" i="2"/>
  <c r="P105" i="2"/>
  <c r="R104" i="2"/>
  <c r="S104" i="2"/>
  <c r="Q104" i="2"/>
  <c r="P104" i="2"/>
  <c r="S103" i="2"/>
  <c r="R103" i="2"/>
  <c r="T103" i="2" s="1"/>
  <c r="Q103" i="2"/>
  <c r="P103" i="2"/>
  <c r="R102" i="2"/>
  <c r="S102" i="2"/>
  <c r="P102" i="2"/>
  <c r="Q102" i="2"/>
  <c r="R101" i="2"/>
  <c r="S101" i="2"/>
  <c r="P101" i="2"/>
  <c r="Q101" i="2"/>
  <c r="Q100" i="2"/>
  <c r="P100" i="2"/>
  <c r="R99" i="2"/>
  <c r="S99" i="2"/>
  <c r="P99" i="2"/>
  <c r="Q99" i="2"/>
  <c r="R98" i="2"/>
  <c r="S98" i="2"/>
  <c r="P98" i="2"/>
  <c r="Q98" i="2"/>
  <c r="S97" i="2"/>
  <c r="R97" i="2"/>
  <c r="T97" i="2" s="1"/>
  <c r="Q97" i="2"/>
  <c r="P97" i="2"/>
  <c r="S96" i="2"/>
  <c r="R96" i="2"/>
  <c r="T96" i="2" s="1"/>
  <c r="P96" i="2"/>
  <c r="Q96" i="2"/>
  <c r="R95" i="2"/>
  <c r="S95" i="2"/>
  <c r="P95" i="2"/>
  <c r="Q95" i="2"/>
  <c r="S94" i="2"/>
  <c r="R94" i="2"/>
  <c r="T94" i="2" s="1"/>
  <c r="Q94" i="2"/>
  <c r="P94" i="2"/>
  <c r="S93" i="2"/>
  <c r="R93" i="2"/>
  <c r="T93" i="2" s="1"/>
  <c r="P93" i="2"/>
  <c r="Q93" i="2"/>
  <c r="R92" i="2"/>
  <c r="S92" i="2"/>
  <c r="Q92" i="2"/>
  <c r="P92" i="2"/>
  <c r="S91" i="2"/>
  <c r="R91" i="2"/>
  <c r="T91" i="2" s="1"/>
  <c r="P91" i="2"/>
  <c r="Q91" i="2"/>
  <c r="R90" i="2"/>
  <c r="S90" i="2"/>
  <c r="Q90" i="2"/>
  <c r="P90" i="2"/>
  <c r="S89" i="2"/>
  <c r="R89" i="2"/>
  <c r="T89" i="2" s="1"/>
  <c r="Q89" i="2"/>
  <c r="P89" i="2"/>
  <c r="R88" i="2"/>
  <c r="S88" i="2"/>
  <c r="P88" i="2"/>
  <c r="Q88" i="2"/>
  <c r="S87" i="2"/>
  <c r="R87" i="2"/>
  <c r="T87" i="2" s="1"/>
  <c r="Q87" i="2"/>
  <c r="P87" i="2"/>
  <c r="S86" i="2"/>
  <c r="R86" i="2"/>
  <c r="T86" i="2" s="1"/>
  <c r="Q86" i="2"/>
  <c r="P86" i="2"/>
  <c r="S85" i="2"/>
  <c r="R85" i="2"/>
  <c r="T85" i="2" s="1"/>
  <c r="Q85" i="2"/>
  <c r="P85" i="2"/>
  <c r="S84" i="2"/>
  <c r="R84" i="2"/>
  <c r="T84" i="2" s="1"/>
  <c r="Q84" i="2"/>
  <c r="P84" i="2"/>
  <c r="S83" i="2"/>
  <c r="R83" i="2"/>
  <c r="T83" i="2" s="1"/>
  <c r="Q83" i="2"/>
  <c r="P83" i="2"/>
  <c r="S82" i="2"/>
  <c r="R82" i="2"/>
  <c r="T82" i="2" s="1"/>
  <c r="Q82" i="2"/>
  <c r="P82" i="2"/>
  <c r="R81" i="2"/>
  <c r="S81" i="2"/>
  <c r="P81" i="2"/>
  <c r="Q81" i="2"/>
  <c r="R80" i="2"/>
  <c r="S80" i="2"/>
  <c r="Q80" i="2"/>
  <c r="P80" i="2"/>
  <c r="R79" i="2"/>
  <c r="S79" i="2"/>
  <c r="P79" i="2"/>
  <c r="Q79" i="2"/>
  <c r="R78" i="2"/>
  <c r="S78" i="2"/>
  <c r="Q78" i="2"/>
  <c r="P78" i="2"/>
  <c r="S77" i="2"/>
  <c r="R77" i="2"/>
  <c r="T77" i="2" s="1"/>
  <c r="Q77" i="2"/>
  <c r="P77" i="2"/>
  <c r="S76" i="2"/>
  <c r="R76" i="2"/>
  <c r="T76" i="2" s="1"/>
  <c r="Q76" i="2"/>
  <c r="P76" i="2"/>
  <c r="S75" i="2"/>
  <c r="R75" i="2"/>
  <c r="T75" i="2" s="1"/>
  <c r="Q75" i="2"/>
  <c r="P75" i="2"/>
  <c r="R74" i="2"/>
  <c r="S74" i="2"/>
  <c r="Q74" i="2"/>
  <c r="P74" i="2"/>
  <c r="S73" i="2"/>
  <c r="R73" i="2"/>
  <c r="T73" i="2" s="1"/>
  <c r="Q73" i="2"/>
  <c r="P73" i="2"/>
  <c r="R72" i="2"/>
  <c r="S72" i="2"/>
  <c r="P72" i="2"/>
  <c r="Q72" i="2"/>
  <c r="R71" i="2"/>
  <c r="S71" i="2"/>
  <c r="P71" i="2"/>
  <c r="Q71" i="2"/>
  <c r="R70" i="2"/>
  <c r="S70" i="2"/>
  <c r="P70" i="2"/>
  <c r="Q70" i="2"/>
  <c r="R69" i="2"/>
  <c r="S69" i="2"/>
  <c r="Q69" i="2"/>
  <c r="P69" i="2"/>
  <c r="S68" i="2"/>
  <c r="R68" i="2"/>
  <c r="T68" i="2" s="1"/>
  <c r="Q68" i="2"/>
  <c r="P68" i="2"/>
  <c r="R67" i="2"/>
  <c r="S67" i="2"/>
  <c r="P67" i="2"/>
  <c r="Q67" i="2"/>
  <c r="S66" i="2"/>
  <c r="R66" i="2"/>
  <c r="T66" i="2" s="1"/>
  <c r="P66" i="2"/>
  <c r="Q66" i="2"/>
  <c r="R65" i="2"/>
  <c r="S65" i="2"/>
  <c r="P65" i="2"/>
  <c r="Q65" i="2"/>
  <c r="R64" i="2"/>
  <c r="S64" i="2"/>
  <c r="Q64" i="2"/>
  <c r="P64" i="2"/>
  <c r="S63" i="2"/>
  <c r="R63" i="2"/>
  <c r="T63" i="2" s="1"/>
  <c r="P63" i="2"/>
  <c r="Q63" i="2"/>
  <c r="R62" i="2"/>
  <c r="S62" i="2"/>
  <c r="P62" i="2"/>
  <c r="Q62" i="2"/>
  <c r="S61" i="2"/>
  <c r="R61" i="2"/>
  <c r="T61" i="2" s="1"/>
  <c r="Q61" i="2"/>
  <c r="P61" i="2"/>
  <c r="S60" i="2"/>
  <c r="R60" i="2"/>
  <c r="T60" i="2" s="1"/>
  <c r="P60" i="2"/>
  <c r="Q60" i="2"/>
  <c r="R59" i="2"/>
  <c r="S59" i="2"/>
  <c r="P59" i="2"/>
  <c r="Q59" i="2"/>
  <c r="S58" i="2"/>
  <c r="R58" i="2"/>
  <c r="T58" i="2" s="1"/>
  <c r="Q58" i="2"/>
  <c r="P58" i="2"/>
  <c r="R57" i="2"/>
  <c r="S57" i="2"/>
  <c r="P57" i="2"/>
  <c r="Q57" i="2"/>
  <c r="R56" i="2"/>
  <c r="S56" i="2"/>
  <c r="Q56" i="2"/>
  <c r="P56" i="2"/>
  <c r="S55" i="2"/>
  <c r="R55" i="2"/>
  <c r="T55" i="2" s="1"/>
  <c r="P55" i="2"/>
  <c r="Q55" i="2"/>
  <c r="S54" i="2"/>
  <c r="R54" i="2"/>
  <c r="T54" i="2" s="1"/>
  <c r="Q54" i="2"/>
  <c r="P54" i="2"/>
  <c r="R53" i="2"/>
  <c r="S53" i="2"/>
  <c r="Q53" i="2"/>
  <c r="P53" i="2"/>
  <c r="S52" i="2"/>
  <c r="R52" i="2"/>
  <c r="T52" i="2" s="1"/>
  <c r="Q52" i="2"/>
  <c r="P52" i="2"/>
  <c r="S51" i="2"/>
  <c r="R51" i="2"/>
  <c r="T51" i="2" s="1"/>
  <c r="P51" i="2"/>
  <c r="Q51" i="2"/>
  <c r="S50" i="2"/>
  <c r="R50" i="2"/>
  <c r="T50" i="2" s="1"/>
  <c r="Q50" i="2"/>
  <c r="P50" i="2"/>
  <c r="S49" i="2"/>
  <c r="R49" i="2"/>
  <c r="T49" i="2" s="1"/>
  <c r="P49" i="2"/>
  <c r="Q49" i="2"/>
  <c r="R48" i="2"/>
  <c r="S48" i="2"/>
  <c r="Q48" i="2"/>
  <c r="P48" i="2"/>
  <c r="R47" i="2"/>
  <c r="S47" i="2"/>
  <c r="S46" i="2"/>
  <c r="R46" i="2"/>
  <c r="T46" i="2" s="1"/>
  <c r="P46" i="2"/>
  <c r="Q46" i="2"/>
  <c r="R45" i="2"/>
  <c r="S45" i="2"/>
  <c r="P45" i="2"/>
  <c r="Q45" i="2"/>
  <c r="R44" i="2"/>
  <c r="S44" i="2"/>
  <c r="P44" i="2"/>
  <c r="Q44" i="2"/>
  <c r="Q43" i="2"/>
  <c r="P43" i="2"/>
  <c r="S42" i="2"/>
  <c r="R42" i="2"/>
  <c r="T42" i="2" s="1"/>
  <c r="P42" i="2"/>
  <c r="Q42" i="2"/>
  <c r="S41" i="2"/>
  <c r="R41" i="2"/>
  <c r="T41" i="2" s="1"/>
  <c r="P41" i="2"/>
  <c r="Q41" i="2"/>
  <c r="S40" i="2"/>
  <c r="R40" i="2"/>
  <c r="T40" i="2" s="1"/>
  <c r="P40" i="2"/>
  <c r="Q40" i="2"/>
  <c r="R39" i="2"/>
  <c r="S39" i="2"/>
  <c r="Q39" i="2"/>
  <c r="P39" i="2"/>
  <c r="R38" i="2"/>
  <c r="S38" i="2"/>
  <c r="Q38" i="2"/>
  <c r="P38" i="2"/>
  <c r="R37" i="2"/>
  <c r="S37" i="2"/>
  <c r="Q37" i="2"/>
  <c r="P37" i="2"/>
  <c r="S36" i="2"/>
  <c r="R36" i="2"/>
  <c r="T36" i="2" s="1"/>
  <c r="Q36" i="2"/>
  <c r="P36" i="2"/>
  <c r="S35" i="2"/>
  <c r="R35" i="2"/>
  <c r="T35" i="2" s="1"/>
  <c r="P35" i="2"/>
  <c r="Q35" i="2"/>
  <c r="S34" i="2"/>
  <c r="R34" i="2"/>
  <c r="T34" i="2" s="1"/>
  <c r="Q34" i="2"/>
  <c r="P34" i="2"/>
  <c r="S33" i="2"/>
  <c r="R33" i="2"/>
  <c r="Q33" i="2"/>
  <c r="P33" i="2"/>
  <c r="S32" i="2"/>
  <c r="R32" i="2"/>
  <c r="T32" i="2" s="1"/>
  <c r="Q32" i="2"/>
  <c r="P32" i="2"/>
  <c r="S31" i="2"/>
  <c r="R31" i="2"/>
  <c r="T31" i="2" s="1"/>
  <c r="Q31" i="2"/>
  <c r="P31" i="2"/>
  <c r="R30" i="2"/>
  <c r="S30" i="2"/>
  <c r="P30" i="2"/>
  <c r="Q30" i="2"/>
  <c r="S29" i="2"/>
  <c r="R29" i="2"/>
  <c r="T29" i="2" s="1"/>
  <c r="Q29" i="2"/>
  <c r="P29" i="2"/>
  <c r="S28" i="2"/>
  <c r="R28" i="2"/>
  <c r="T28" i="2" s="1"/>
  <c r="Q28" i="2"/>
  <c r="P28" i="2"/>
  <c r="S27" i="2"/>
  <c r="R27" i="2"/>
  <c r="T27" i="2" s="1"/>
  <c r="P27" i="2"/>
  <c r="Q27" i="2"/>
  <c r="R26" i="2"/>
  <c r="S26" i="2"/>
  <c r="Q26" i="2"/>
  <c r="P26" i="2"/>
  <c r="R25" i="2"/>
  <c r="S25" i="2"/>
  <c r="P25" i="2"/>
  <c r="Q25" i="2"/>
  <c r="S24" i="2"/>
  <c r="R24" i="2"/>
  <c r="T24" i="2" s="1"/>
  <c r="Q24" i="2"/>
  <c r="P24" i="2"/>
  <c r="R23" i="2"/>
  <c r="S23" i="2"/>
  <c r="P23" i="2"/>
  <c r="Q23" i="2"/>
  <c r="R22" i="2"/>
  <c r="S22" i="2"/>
  <c r="P22" i="2"/>
  <c r="Q22" i="2"/>
  <c r="S21" i="2"/>
  <c r="R21" i="2"/>
  <c r="T21" i="2" s="1"/>
  <c r="Q21" i="2"/>
  <c r="P21" i="2"/>
  <c r="S20" i="2"/>
  <c r="R20" i="2"/>
  <c r="T20" i="2" s="1"/>
  <c r="P20" i="2"/>
  <c r="Q20" i="2"/>
  <c r="S19" i="2"/>
  <c r="R19" i="2"/>
  <c r="T19" i="2" s="1"/>
  <c r="Q19" i="2"/>
  <c r="P19" i="2"/>
  <c r="S18" i="2"/>
  <c r="R18" i="2"/>
  <c r="T18" i="2" s="1"/>
  <c r="Q18" i="2"/>
  <c r="P18" i="2"/>
  <c r="R17" i="2"/>
  <c r="S17" i="2"/>
  <c r="Q17" i="2"/>
  <c r="P17" i="2"/>
  <c r="S16" i="2"/>
  <c r="R16" i="2"/>
  <c r="T16" i="2" s="1"/>
  <c r="Q16" i="2"/>
  <c r="P16" i="2"/>
  <c r="S15" i="2"/>
  <c r="R15" i="2"/>
  <c r="T15" i="2" s="1"/>
  <c r="Q15" i="2"/>
  <c r="P15" i="2"/>
  <c r="S14" i="2"/>
  <c r="R14" i="2"/>
  <c r="T14" i="2" s="1"/>
  <c r="Q14" i="2"/>
  <c r="P14" i="2"/>
  <c r="S13" i="2"/>
  <c r="R13" i="2"/>
  <c r="T13" i="2" s="1"/>
  <c r="P13" i="2"/>
  <c r="Q13" i="2"/>
  <c r="S12" i="2"/>
  <c r="R12" i="2"/>
  <c r="T12" i="2" s="1"/>
  <c r="P12" i="2"/>
  <c r="Q12" i="2"/>
  <c r="R11" i="2"/>
  <c r="S11" i="2"/>
  <c r="Q11" i="2"/>
  <c r="P11" i="2"/>
  <c r="R10" i="2"/>
  <c r="U10" i="2" a="1"/>
  <c r="S10" i="2"/>
  <c r="S9" i="2"/>
  <c r="R9" i="2"/>
  <c r="T9" i="2" s="1"/>
  <c r="Q9" i="2"/>
  <c r="P9" i="2"/>
  <c r="S8" i="2"/>
  <c r="R8" i="2"/>
  <c r="P8" i="2"/>
  <c r="Q8" i="2"/>
  <c r="S7" i="2"/>
  <c r="R7" i="2"/>
  <c r="T7" i="2" s="1"/>
  <c r="Q7" i="2"/>
  <c r="P7" i="2"/>
  <c r="R6" i="2"/>
  <c r="S6" i="2"/>
  <c r="Q6" i="2"/>
  <c r="P6" i="2"/>
  <c r="R5" i="2"/>
  <c r="T5" i="2" s="1"/>
  <c r="S5" i="2"/>
  <c r="Q5" i="2"/>
  <c r="P5" i="2"/>
  <c r="S4" i="2"/>
  <c r="R4" i="2"/>
  <c r="T4" i="2" s="1"/>
  <c r="Q4" i="2"/>
  <c r="P4" i="2"/>
  <c r="S3" i="2"/>
  <c r="R3" i="2"/>
  <c r="T3" i="2" s="1"/>
  <c r="Q3" i="2"/>
  <c r="P3" i="2"/>
  <c r="S2" i="2"/>
  <c r="R2" i="2"/>
  <c r="Q2" i="2"/>
  <c r="P2" i="2"/>
  <c r="C119" i="6" s="1"/>
  <c r="C7" i="1" a="1"/>
  <c r="C5" i="1" a="1"/>
  <c r="U2" i="2" a="1"/>
  <c r="G132" i="6" s="1"/>
  <c r="H132" i="6" s="1"/>
  <c r="C6" i="1" a="1"/>
  <c r="C8" i="1" a="1"/>
  <c r="D117" i="6" l="1"/>
  <c r="E117" i="6"/>
  <c r="D120" i="6"/>
  <c r="E120" i="6"/>
  <c r="D121" i="6"/>
  <c r="E121" i="6"/>
  <c r="D116" i="6"/>
  <c r="E116" i="6"/>
  <c r="D122" i="6"/>
  <c r="E122" i="6"/>
  <c r="R13" i="6"/>
  <c r="S13" i="6" s="1"/>
  <c r="T13" i="6"/>
  <c r="Q14" i="6"/>
  <c r="I66" i="6"/>
  <c r="T152" i="2"/>
  <c r="T123" i="2"/>
  <c r="T104" i="2"/>
  <c r="T6" i="2"/>
  <c r="T33" i="2"/>
  <c r="C3" i="4"/>
  <c r="G12" i="6"/>
  <c r="T23" i="2"/>
  <c r="T22" i="2"/>
  <c r="T17" i="2"/>
  <c r="T11" i="2"/>
  <c r="T183" i="2"/>
  <c r="T39" i="6"/>
  <c r="V39" i="6" s="1"/>
  <c r="T38" i="6"/>
  <c r="V38" i="6" s="1"/>
  <c r="T37" i="6"/>
  <c r="V37" i="6" s="1"/>
  <c r="T36" i="6"/>
  <c r="V36" i="6" s="1"/>
  <c r="T35" i="6"/>
  <c r="V35" i="6" s="1"/>
  <c r="T34" i="6"/>
  <c r="V34" i="6" s="1"/>
  <c r="T29" i="6"/>
  <c r="V29" i="6" s="1"/>
  <c r="E62" i="6"/>
  <c r="J62" i="6" s="1"/>
  <c r="T30" i="6"/>
  <c r="V30" i="6" s="1"/>
  <c r="E65" i="6"/>
  <c r="E64" i="6"/>
  <c r="E63" i="6"/>
  <c r="T40" i="6"/>
  <c r="V40" i="6" s="1"/>
  <c r="T42" i="6"/>
  <c r="V42" i="6" s="1"/>
  <c r="G129" i="6"/>
  <c r="T33" i="6"/>
  <c r="V33" i="6" s="1"/>
  <c r="T41" i="6"/>
  <c r="V41" i="6" s="1"/>
  <c r="T32" i="6"/>
  <c r="V32" i="6" s="1"/>
  <c r="T12" i="6"/>
  <c r="B7" i="6"/>
  <c r="T43" i="6"/>
  <c r="V43" i="6" s="1"/>
  <c r="T31" i="6"/>
  <c r="V31" i="6" s="1"/>
  <c r="E50" i="6"/>
  <c r="F51" i="6"/>
  <c r="F52" i="6"/>
  <c r="E51" i="6"/>
  <c r="F50" i="6"/>
  <c r="E53" i="6"/>
  <c r="F53" i="6"/>
  <c r="E52" i="6"/>
  <c r="D51" i="6"/>
  <c r="C50" i="6"/>
  <c r="D52" i="6"/>
  <c r="C51" i="6"/>
  <c r="G51" i="6" s="1"/>
  <c r="C53" i="6"/>
  <c r="D50" i="6"/>
  <c r="D54" i="6" s="1"/>
  <c r="D53" i="6"/>
  <c r="C52" i="6"/>
  <c r="G52" i="6" s="1"/>
  <c r="T2" i="2"/>
  <c r="E27" i="6"/>
  <c r="F118" i="6"/>
  <c r="E28" i="6"/>
  <c r="E26" i="6"/>
  <c r="E119" i="6"/>
  <c r="D119" i="6"/>
  <c r="B2" i="5" a="1"/>
  <c r="B3" i="5" a="1"/>
  <c r="B4" i="5" a="1"/>
  <c r="B5" i="5" a="1"/>
  <c r="T173" i="2"/>
  <c r="T172" i="2"/>
  <c r="T170" i="2"/>
  <c r="T166" i="2"/>
  <c r="T163" i="2"/>
  <c r="T162" i="2"/>
  <c r="T160" i="2"/>
  <c r="T159" i="2"/>
  <c r="T156" i="2"/>
  <c r="T155" i="2"/>
  <c r="T151" i="2"/>
  <c r="T150" i="2"/>
  <c r="T192" i="2"/>
  <c r="T182" i="2"/>
  <c r="T148" i="2"/>
  <c r="T146" i="2"/>
  <c r="T145" i="2"/>
  <c r="T144" i="2"/>
  <c r="T143" i="2"/>
  <c r="T142" i="2"/>
  <c r="T141" i="2"/>
  <c r="T140" i="2"/>
  <c r="T139" i="2"/>
  <c r="T135" i="2"/>
  <c r="T131" i="2"/>
  <c r="T126" i="2"/>
  <c r="T108" i="2"/>
  <c r="T106" i="2"/>
  <c r="T105" i="2"/>
  <c r="T102" i="2"/>
  <c r="T101" i="2"/>
  <c r="T99" i="2"/>
  <c r="T98" i="2"/>
  <c r="T119" i="2"/>
  <c r="T117" i="2"/>
  <c r="T116" i="2"/>
  <c r="T115" i="2"/>
  <c r="T114" i="2"/>
  <c r="T113" i="2"/>
  <c r="T111" i="2"/>
  <c r="T110" i="2"/>
  <c r="T109" i="2"/>
  <c r="T10" i="2"/>
  <c r="T95" i="2"/>
  <c r="T92" i="2"/>
  <c r="T90" i="2"/>
  <c r="T88" i="2"/>
  <c r="T81" i="2"/>
  <c r="T80" i="2"/>
  <c r="T79" i="2"/>
  <c r="T78" i="2"/>
  <c r="T74" i="2"/>
  <c r="T72" i="2"/>
  <c r="T71" i="2"/>
  <c r="T57" i="2"/>
  <c r="T56" i="2"/>
  <c r="T53" i="2"/>
  <c r="T47" i="2"/>
  <c r="T45" i="2"/>
  <c r="T8" i="2"/>
  <c r="T201" i="2"/>
  <c r="T200" i="2"/>
  <c r="T198" i="2"/>
  <c r="T193" i="2"/>
  <c r="T187" i="2"/>
  <c r="T178" i="2"/>
  <c r="T177" i="2"/>
  <c r="T70" i="2"/>
  <c r="T69" i="2"/>
  <c r="T67" i="2"/>
  <c r="T65" i="2"/>
  <c r="T64" i="2"/>
  <c r="T62" i="2"/>
  <c r="T59" i="2"/>
  <c r="T48" i="2"/>
  <c r="T44" i="2"/>
  <c r="T39" i="2"/>
  <c r="T38" i="2"/>
  <c r="T37" i="2"/>
  <c r="T30" i="2"/>
  <c r="T26" i="2"/>
  <c r="T25" i="2"/>
  <c r="U13" i="6" l="1"/>
  <c r="R14" i="6"/>
  <c r="S14" i="6" s="1"/>
  <c r="T14" i="6"/>
  <c r="Q15" i="6"/>
  <c r="U29" i="6"/>
  <c r="U32" i="6"/>
  <c r="K50" i="6"/>
  <c r="K51" i="6"/>
  <c r="U43" i="6"/>
  <c r="U30" i="6"/>
  <c r="U33" i="6"/>
  <c r="U39" i="6"/>
  <c r="U34" i="6"/>
  <c r="U35" i="6"/>
  <c r="U36" i="6"/>
  <c r="U37" i="6"/>
  <c r="U38" i="6"/>
  <c r="K65" i="6"/>
  <c r="U40" i="6"/>
  <c r="E56" i="6"/>
  <c r="H63" i="6"/>
  <c r="D56" i="6"/>
  <c r="G130" i="6"/>
  <c r="K63" i="6"/>
  <c r="K64" i="6"/>
  <c r="U41" i="6"/>
  <c r="I51" i="6"/>
  <c r="K52" i="6"/>
  <c r="I53" i="6"/>
  <c r="C56" i="6"/>
  <c r="K62" i="6"/>
  <c r="K53" i="6"/>
  <c r="U31" i="6"/>
  <c r="U42" i="6"/>
  <c r="I50" i="6"/>
  <c r="I52" i="6"/>
  <c r="E7" i="6"/>
  <c r="H62" i="6"/>
  <c r="H64" i="6"/>
  <c r="H65" i="6"/>
  <c r="W84" i="6"/>
  <c r="W85" i="6"/>
  <c r="W83" i="6"/>
  <c r="W82" i="6"/>
  <c r="W81" i="6"/>
  <c r="W80" i="6"/>
  <c r="W79" i="6"/>
  <c r="W78" i="6"/>
  <c r="W77" i="6"/>
  <c r="W76" i="6"/>
  <c r="W75" i="6"/>
  <c r="W74" i="6"/>
  <c r="W73" i="6"/>
  <c r="W72" i="6"/>
  <c r="W86" i="6"/>
  <c r="E66" i="6"/>
  <c r="F63" i="6" s="1"/>
  <c r="F62" i="6"/>
  <c r="G62" i="6"/>
  <c r="J65" i="6"/>
  <c r="G65" i="6"/>
  <c r="F65" i="6"/>
  <c r="J64" i="6"/>
  <c r="F64" i="6"/>
  <c r="G64" i="6"/>
  <c r="J63" i="6"/>
  <c r="G63" i="6"/>
  <c r="V13" i="6"/>
  <c r="V12" i="6"/>
  <c r="U12" i="6"/>
  <c r="M8" i="6"/>
  <c r="H11" i="6"/>
  <c r="J12" i="6"/>
  <c r="D8" i="6"/>
  <c r="C54" i="6"/>
  <c r="G50" i="6"/>
  <c r="J51" i="6"/>
  <c r="J52" i="6"/>
  <c r="J8" i="6"/>
  <c r="H128" i="6"/>
  <c r="H131" i="6"/>
  <c r="I131" i="6" s="1"/>
  <c r="F27" i="6"/>
  <c r="J27" i="6"/>
  <c r="G27" i="6"/>
  <c r="H27" i="6" s="1"/>
  <c r="I27" i="6"/>
  <c r="F28" i="6"/>
  <c r="G28" i="6"/>
  <c r="I28" i="6"/>
  <c r="J28" i="6"/>
  <c r="G26" i="6"/>
  <c r="I26" i="6"/>
  <c r="J26" i="6"/>
  <c r="E29" i="6"/>
  <c r="F54" i="6"/>
  <c r="F56" i="6" s="1"/>
  <c r="G53" i="6"/>
  <c r="E54" i="6"/>
  <c r="C4" i="4"/>
  <c r="C5" i="4" s="1"/>
  <c r="U14" i="6" l="1"/>
  <c r="R15" i="6"/>
  <c r="S15" i="6" s="1"/>
  <c r="T15" i="6"/>
  <c r="Q16" i="6"/>
  <c r="K66" i="6"/>
  <c r="H66" i="6"/>
  <c r="B11" i="6"/>
  <c r="D12" i="6" s="1"/>
  <c r="G8" i="6"/>
  <c r="H7" i="6"/>
  <c r="B84" i="6"/>
  <c r="C84" i="6"/>
  <c r="D84" i="6"/>
  <c r="E84" i="6"/>
  <c r="I84" i="6"/>
  <c r="J84" i="6"/>
  <c r="K84" i="6" s="1"/>
  <c r="B85" i="6"/>
  <c r="C85" i="6"/>
  <c r="D85" i="6"/>
  <c r="E85" i="6"/>
  <c r="I85" i="6"/>
  <c r="J85" i="6"/>
  <c r="K85" i="6" s="1"/>
  <c r="B83" i="6"/>
  <c r="C83" i="6"/>
  <c r="D83" i="6"/>
  <c r="E83" i="6"/>
  <c r="I83" i="6"/>
  <c r="J83" i="6"/>
  <c r="K83" i="6" s="1"/>
  <c r="B82" i="6"/>
  <c r="C82" i="6"/>
  <c r="D82" i="6"/>
  <c r="E82" i="6"/>
  <c r="I82" i="6"/>
  <c r="J82" i="6"/>
  <c r="K82" i="6" s="1"/>
  <c r="B81" i="6"/>
  <c r="C81" i="6"/>
  <c r="D81" i="6"/>
  <c r="E81" i="6"/>
  <c r="I81" i="6"/>
  <c r="J81" i="6"/>
  <c r="K81" i="6" s="1"/>
  <c r="B80" i="6"/>
  <c r="C80" i="6"/>
  <c r="D80" i="6"/>
  <c r="E80" i="6"/>
  <c r="I80" i="6" s="1"/>
  <c r="J80" i="6"/>
  <c r="K80" i="6" s="1"/>
  <c r="B79" i="6"/>
  <c r="C79" i="6"/>
  <c r="D79" i="6"/>
  <c r="E79" i="6"/>
  <c r="I79" i="6"/>
  <c r="J79" i="6"/>
  <c r="K79" i="6" s="1"/>
  <c r="B78" i="6"/>
  <c r="C78" i="6"/>
  <c r="D78" i="6"/>
  <c r="E78" i="6"/>
  <c r="I78" i="6"/>
  <c r="J78" i="6"/>
  <c r="K78" i="6" s="1"/>
  <c r="B77" i="6"/>
  <c r="C77" i="6"/>
  <c r="D77" i="6"/>
  <c r="E77" i="6"/>
  <c r="I77" i="6"/>
  <c r="J77" i="6"/>
  <c r="K77" i="6" s="1"/>
  <c r="B76" i="6"/>
  <c r="C76" i="6"/>
  <c r="D76" i="6"/>
  <c r="E76" i="6"/>
  <c r="I76" i="6"/>
  <c r="J76" i="6"/>
  <c r="K76" i="6" s="1"/>
  <c r="B75" i="6"/>
  <c r="C75" i="6"/>
  <c r="D75" i="6"/>
  <c r="E75" i="6"/>
  <c r="I75" i="6" s="1"/>
  <c r="J75" i="6"/>
  <c r="K75" i="6" s="1"/>
  <c r="B74" i="6"/>
  <c r="C74" i="6"/>
  <c r="D74" i="6"/>
  <c r="E74" i="6"/>
  <c r="I74" i="6"/>
  <c r="J74" i="6"/>
  <c r="K74" i="6" s="1"/>
  <c r="B73" i="6"/>
  <c r="C73" i="6"/>
  <c r="D73" i="6"/>
  <c r="E73" i="6"/>
  <c r="I73" i="6"/>
  <c r="J73" i="6"/>
  <c r="K73" i="6" s="1"/>
  <c r="B72" i="6"/>
  <c r="C72" i="6"/>
  <c r="D72" i="6"/>
  <c r="E72" i="6"/>
  <c r="I72" i="6"/>
  <c r="J72" i="6"/>
  <c r="K72" i="6" s="1"/>
  <c r="D86" i="6"/>
  <c r="B86" i="6"/>
  <c r="C86" i="6"/>
  <c r="E86" i="6"/>
  <c r="I86" i="6"/>
  <c r="J86" i="6"/>
  <c r="K86" i="6" s="1"/>
  <c r="J66" i="6"/>
  <c r="F66" i="6"/>
  <c r="G66" i="6"/>
  <c r="J50" i="6"/>
  <c r="G54" i="6"/>
  <c r="H50" i="6" s="1"/>
  <c r="I128" i="6"/>
  <c r="H129" i="6"/>
  <c r="I129" i="6" s="1"/>
  <c r="H130" i="6"/>
  <c r="I130" i="6" s="1"/>
  <c r="H28" i="6"/>
  <c r="H29" i="6"/>
  <c r="G29" i="6"/>
  <c r="I29" i="6"/>
  <c r="J29" i="6"/>
  <c r="H53" i="6"/>
  <c r="J53" i="6"/>
  <c r="V14" i="6"/>
  <c r="U15" i="6" l="1"/>
  <c r="R16" i="6"/>
  <c r="S16" i="6" s="1"/>
  <c r="T16" i="6"/>
  <c r="Q17" i="6"/>
  <c r="F84" i="6"/>
  <c r="F85" i="6"/>
  <c r="F83" i="6"/>
  <c r="F82" i="6"/>
  <c r="F81" i="6"/>
  <c r="F80" i="6"/>
  <c r="F79" i="6"/>
  <c r="F78" i="6"/>
  <c r="F77" i="6"/>
  <c r="F76" i="6"/>
  <c r="F75" i="6"/>
  <c r="F74" i="6"/>
  <c r="F73" i="6"/>
  <c r="F72" i="6"/>
  <c r="G72" i="6" s="1"/>
  <c r="F86" i="6"/>
  <c r="E55" i="6"/>
  <c r="F55" i="6"/>
  <c r="H52" i="6"/>
  <c r="H51" i="6"/>
  <c r="C55" i="6"/>
  <c r="K54" i="6"/>
  <c r="I54" i="6"/>
  <c r="D55" i="6"/>
  <c r="J54" i="6"/>
  <c r="H54" i="6"/>
  <c r="V15" i="6"/>
  <c r="U16" i="6" l="1"/>
  <c r="R17" i="6"/>
  <c r="S17" i="6" s="1"/>
  <c r="T17" i="6"/>
  <c r="Q18" i="6"/>
  <c r="G81" i="6"/>
  <c r="V16" i="6"/>
  <c r="G73" i="6"/>
  <c r="H72" i="6"/>
  <c r="U17" i="6" l="1"/>
  <c r="R18" i="6"/>
  <c r="S18" i="6" s="1"/>
  <c r="T18" i="6"/>
  <c r="Q19" i="6"/>
  <c r="H81" i="6"/>
  <c r="G82" i="6"/>
  <c r="H73" i="6"/>
  <c r="G74" i="6"/>
  <c r="V17" i="6"/>
  <c r="U18" i="6" l="1"/>
  <c r="R19" i="6"/>
  <c r="S19" i="6" s="1"/>
  <c r="T19" i="6"/>
  <c r="Q20" i="6"/>
  <c r="H82" i="6"/>
  <c r="G83" i="6"/>
  <c r="H74" i="6"/>
  <c r="G75" i="6"/>
  <c r="V18" i="6"/>
  <c r="U19" i="6" l="1"/>
  <c r="R20" i="6"/>
  <c r="S20" i="6" s="1"/>
  <c r="T20" i="6"/>
  <c r="Q21" i="6"/>
  <c r="H83" i="6"/>
  <c r="G84" i="6"/>
  <c r="H75" i="6"/>
  <c r="G76" i="6"/>
  <c r="V19" i="6"/>
  <c r="U20" i="6" l="1"/>
  <c r="R21" i="6"/>
  <c r="S21" i="6" s="1"/>
  <c r="T21" i="6"/>
  <c r="Q22" i="6"/>
  <c r="H84" i="6"/>
  <c r="G85" i="6"/>
  <c r="H76" i="6"/>
  <c r="G77" i="6"/>
  <c r="V20" i="6"/>
  <c r="U21" i="6" l="1"/>
  <c r="R22" i="6"/>
  <c r="S22" i="6" s="1"/>
  <c r="T22" i="6"/>
  <c r="Q23" i="6"/>
  <c r="H85" i="6"/>
  <c r="G86" i="6"/>
  <c r="H86" i="6" s="1"/>
  <c r="H77" i="6"/>
  <c r="G78" i="6"/>
  <c r="V21" i="6"/>
  <c r="U22" i="6" l="1"/>
  <c r="R23" i="6"/>
  <c r="S23" i="6" s="1"/>
  <c r="T23" i="6"/>
  <c r="Q24" i="6"/>
  <c r="H78" i="6"/>
  <c r="G79" i="6"/>
  <c r="V22" i="6"/>
  <c r="U23" i="6" l="1"/>
  <c r="R24" i="6"/>
  <c r="S24" i="6" s="1"/>
  <c r="T24" i="6"/>
  <c r="Q25" i="6"/>
  <c r="H79" i="6"/>
  <c r="G80" i="6"/>
  <c r="H80" i="6" s="1"/>
  <c r="V23" i="6"/>
  <c r="R25" i="6" l="1"/>
  <c r="S25" i="6" s="1"/>
  <c r="T25" i="6"/>
  <c r="U24" i="6"/>
  <c r="V24" i="6"/>
  <c r="U25" i="6" l="1"/>
  <c r="V25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8F892B-08A9-48B7-8BB6-79F2F9A145FA}" keepAlive="1" name="Consulta - maestro_productos_15" description="Conexión a la consulta 'maestro_productos_15' en el libro." type="5" refreshedVersion="8" background="1" saveData="1">
    <dbPr connection="Provider=Microsoft.Mashup.OleDb.1;Data Source=$Workbook$;Location=maestro_productos_15;Extended Properties=&quot;&quot;" command="SELECT * FROM [maestro_productos_15]"/>
  </connection>
  <connection id="2" xr16:uid="{9DFB14F6-F127-4A42-8E7B-C0AEDB1E08C1}" keepAlive="1" name="Consulta - ventas_raw_200" description="Conexión a la consulta 'ventas_raw_200' en el libro." type="5" refreshedVersion="8" background="1" saveData="1">
    <dbPr connection="Provider=Microsoft.Mashup.OleDb.1;Data Source=$Workbook$;Location=ventas_raw_200;Extended Properties=&quot;&quot;" command="SELECT * FROM [ventas_raw_200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<sst xmlns="http://schemas.openxmlformats.org/spreadsheetml/2006/main" count="1111" uniqueCount="454">
  <si>
    <t>ID_Transaccion</t>
  </si>
  <si>
    <t>Fecha</t>
  </si>
  <si>
    <t>Sucursal</t>
  </si>
  <si>
    <t>Vendedor</t>
  </si>
  <si>
    <t>Producto</t>
  </si>
  <si>
    <t>Cantidad</t>
  </si>
  <si>
    <t>Precio_Unitario</t>
  </si>
  <si>
    <t>Costo_Unitario</t>
  </si>
  <si>
    <t>TRX-1001</t>
  </si>
  <si>
    <t xml:space="preserve"> Corrientes </t>
  </si>
  <si>
    <t>Ana Martinez</t>
  </si>
  <si>
    <t>mates de madera calada</t>
  </si>
  <si>
    <t>TRX-1002</t>
  </si>
  <si>
    <t>Posadas</t>
  </si>
  <si>
    <t>Juan Perez</t>
  </si>
  <si>
    <t>termo acero inoxidable 1.3l</t>
  </si>
  <si>
    <t>TRX-1003</t>
  </si>
  <si>
    <t>Mouse Inalámbrico Ergonómico</t>
  </si>
  <si>
    <t>TRX-1004</t>
  </si>
  <si>
    <t>Resistencia</t>
  </si>
  <si>
    <t>ANA MARTINEZ</t>
  </si>
  <si>
    <t>Yerba Mate Premium 1kg</t>
  </si>
  <si>
    <t>TRX-1005</t>
  </si>
  <si>
    <t>CORRIENTES</t>
  </si>
  <si>
    <t>TRX-1006</t>
  </si>
  <si>
    <t>Formosa</t>
  </si>
  <si>
    <t>correa reforzada canina 3m</t>
  </si>
  <si>
    <t xml:space="preserve"> TRX-1007 </t>
  </si>
  <si>
    <t>Alimento Perro Adulto 15kg</t>
  </si>
  <si>
    <t>TRX-1008</t>
  </si>
  <si>
    <t xml:space="preserve"> MARIA GOMEZ </t>
  </si>
  <si>
    <t>Alimento Gato Castrado 10kg</t>
  </si>
  <si>
    <t>TRX-1009</t>
  </si>
  <si>
    <t>juan perez</t>
  </si>
  <si>
    <t>Cargador Rápido USB-C 65W</t>
  </si>
  <si>
    <t>TRX-1010</t>
  </si>
  <si>
    <t>Snack Premios Perro 250g</t>
  </si>
  <si>
    <t>TRX-1011</t>
  </si>
  <si>
    <t xml:space="preserve">POSADAS </t>
  </si>
  <si>
    <t>TRX-1012</t>
  </si>
  <si>
    <t>TRX-1013</t>
  </si>
  <si>
    <t>Juguete Mordillo Goma</t>
  </si>
  <si>
    <t>TRX-1014</t>
  </si>
  <si>
    <t>Shampoo Canino Neutro 500ml</t>
  </si>
  <si>
    <t>TRX-1015</t>
  </si>
  <si>
    <t>TRX-1016</t>
  </si>
  <si>
    <t>TRX-1017</t>
  </si>
  <si>
    <t>TRX-1018</t>
  </si>
  <si>
    <t>TRX-1019</t>
  </si>
  <si>
    <t>carlos ruiz</t>
  </si>
  <si>
    <t>Termo Acero Inoxidable 1.3L</t>
  </si>
  <si>
    <t>TRX-1020</t>
  </si>
  <si>
    <t>TRX-1021</t>
  </si>
  <si>
    <t>mouse inalámbrico ergonómico</t>
  </si>
  <si>
    <t>TRX-1022</t>
  </si>
  <si>
    <t xml:space="preserve"> TRX-1023 </t>
  </si>
  <si>
    <t xml:space="preserve">resistencia </t>
  </si>
  <si>
    <t xml:space="preserve"> Juguete Mordillo Goma </t>
  </si>
  <si>
    <t>TRX-1024</t>
  </si>
  <si>
    <t>TRX-1025</t>
  </si>
  <si>
    <t>Mates de Madera Calada</t>
  </si>
  <si>
    <t>TRX-1026</t>
  </si>
  <si>
    <t>Soporte Regulable Notebook</t>
  </si>
  <si>
    <t>TRX-1027</t>
  </si>
  <si>
    <t>Café en Grano Intenso 1kg</t>
  </si>
  <si>
    <t xml:space="preserve"> TRX-1028 </t>
  </si>
  <si>
    <t>TRX-1029</t>
  </si>
  <si>
    <t xml:space="preserve"> Shampoo Canino Neutro 500ml </t>
  </si>
  <si>
    <t>TRX-1030</t>
  </si>
  <si>
    <t>Carlos Ruiz</t>
  </si>
  <si>
    <t xml:space="preserve"> TRX-1031 </t>
  </si>
  <si>
    <t>TRX-1032</t>
  </si>
  <si>
    <t>Teclado Mecánico RGB</t>
  </si>
  <si>
    <t xml:space="preserve"> TRX-1033 </t>
  </si>
  <si>
    <t>Auriculares Bluetooth Pro</t>
  </si>
  <si>
    <t>TRX-1034</t>
  </si>
  <si>
    <t xml:space="preserve"> Mouse Inalámbrico Ergonómico </t>
  </si>
  <si>
    <t>TRX-1035</t>
  </si>
  <si>
    <t>TRX-1036</t>
  </si>
  <si>
    <t xml:space="preserve"> TRX-1037 </t>
  </si>
  <si>
    <t xml:space="preserve"> TRX-1038 </t>
  </si>
  <si>
    <t>TRX-1039</t>
  </si>
  <si>
    <t>TRX-1040</t>
  </si>
  <si>
    <t>TRX-1041</t>
  </si>
  <si>
    <t xml:space="preserve"> Auriculares Bluetooth Pro </t>
  </si>
  <si>
    <t>TRX-1042</t>
  </si>
  <si>
    <t>TRX-1043</t>
  </si>
  <si>
    <t>TRX-1044</t>
  </si>
  <si>
    <t>shampoo canino neutro 500ml</t>
  </si>
  <si>
    <t>TRX-1045</t>
  </si>
  <si>
    <t>TRX-1046</t>
  </si>
  <si>
    <t xml:space="preserve"> TRX-1047 </t>
  </si>
  <si>
    <t>TRX-1048</t>
  </si>
  <si>
    <t>yerba mate premium 1kg</t>
  </si>
  <si>
    <t>TRX-1049</t>
  </si>
  <si>
    <t xml:space="preserve"> Correa Reforzada Canina 3m </t>
  </si>
  <si>
    <t xml:space="preserve"> TRX-1050 </t>
  </si>
  <si>
    <t>TRX-1051</t>
  </si>
  <si>
    <t>TRX-1052</t>
  </si>
  <si>
    <t>café en grano intenso 1kg</t>
  </si>
  <si>
    <t>TRX-1053</t>
  </si>
  <si>
    <t>TRX-1054</t>
  </si>
  <si>
    <t>TRX-1055</t>
  </si>
  <si>
    <t>TRX-1056</t>
  </si>
  <si>
    <t>TRX-1057</t>
  </si>
  <si>
    <t xml:space="preserve"> TRX-1058 </t>
  </si>
  <si>
    <t>TRX-1059</t>
  </si>
  <si>
    <t>TRX-1060</t>
  </si>
  <si>
    <t>TRX-1061</t>
  </si>
  <si>
    <t>Correa Reforzada Canina 3m</t>
  </si>
  <si>
    <t>TRX-1062</t>
  </si>
  <si>
    <t>TRX-1063</t>
  </si>
  <si>
    <t>TRX-1064</t>
  </si>
  <si>
    <t>TRX-1065</t>
  </si>
  <si>
    <t>TRX-1066</t>
  </si>
  <si>
    <t xml:space="preserve"> TRX-1067 </t>
  </si>
  <si>
    <t>TRX-1068</t>
  </si>
  <si>
    <t xml:space="preserve"> TRX-1069 </t>
  </si>
  <si>
    <t>TRX-1070</t>
  </si>
  <si>
    <t>TRX-1071</t>
  </si>
  <si>
    <t>TRX-1072</t>
  </si>
  <si>
    <t>TRX-1073</t>
  </si>
  <si>
    <t>TRX-1074</t>
  </si>
  <si>
    <t xml:space="preserve"> TRX-1075 </t>
  </si>
  <si>
    <t xml:space="preserve"> Soporte Regulable Notebook </t>
  </si>
  <si>
    <t>TRX-1076</t>
  </si>
  <si>
    <t xml:space="preserve"> TRX-1077 </t>
  </si>
  <si>
    <t>TRX-1078</t>
  </si>
  <si>
    <t>TRX-1079</t>
  </si>
  <si>
    <t>TRX-1080</t>
  </si>
  <si>
    <t>TRX-1081</t>
  </si>
  <si>
    <t>TRX-1082</t>
  </si>
  <si>
    <t>TRX-1083</t>
  </si>
  <si>
    <t>TRX-1084</t>
  </si>
  <si>
    <t>TRX-1085</t>
  </si>
  <si>
    <t>TRX-1086</t>
  </si>
  <si>
    <t>TRX-1087</t>
  </si>
  <si>
    <t>TRX-1088</t>
  </si>
  <si>
    <t>TRX-1089</t>
  </si>
  <si>
    <t>TRX-1090</t>
  </si>
  <si>
    <t xml:space="preserve"> Termo Acero Inoxidable 1.3L </t>
  </si>
  <si>
    <t>TRX-1091</t>
  </si>
  <si>
    <t>TRX-1092</t>
  </si>
  <si>
    <t>TRX-1093</t>
  </si>
  <si>
    <t>TRX-1094</t>
  </si>
  <si>
    <t>TRX-1095</t>
  </si>
  <si>
    <t>TRX-1096</t>
  </si>
  <si>
    <t>TRX-1097</t>
  </si>
  <si>
    <t xml:space="preserve"> TRX-1098 </t>
  </si>
  <si>
    <t>TRX-1099</t>
  </si>
  <si>
    <t>TRX-1100</t>
  </si>
  <si>
    <t>TRX-1101</t>
  </si>
  <si>
    <t>TRX-1102</t>
  </si>
  <si>
    <t>TRX-1103</t>
  </si>
  <si>
    <t>TRX-1104</t>
  </si>
  <si>
    <t>TRX-1105</t>
  </si>
  <si>
    <t xml:space="preserve"> Snack Premios Perro 250g </t>
  </si>
  <si>
    <t>TRX-1106</t>
  </si>
  <si>
    <t>snack premios perro 250g</t>
  </si>
  <si>
    <t>TRX-1107</t>
  </si>
  <si>
    <t>TRX-1108</t>
  </si>
  <si>
    <t>TRX-1109</t>
  </si>
  <si>
    <t>TRX-1110</t>
  </si>
  <si>
    <t xml:space="preserve"> TRX-1111 </t>
  </si>
  <si>
    <t>juguete mordillo goma</t>
  </si>
  <si>
    <t>TRX-1112</t>
  </si>
  <si>
    <t>TRX-1113</t>
  </si>
  <si>
    <t>TRX-1114</t>
  </si>
  <si>
    <t>TRX-1115</t>
  </si>
  <si>
    <t>TRX-1116</t>
  </si>
  <si>
    <t>TRX-1117</t>
  </si>
  <si>
    <t>TRX-1118</t>
  </si>
  <si>
    <t>TRX-1119</t>
  </si>
  <si>
    <t>TRX-1120</t>
  </si>
  <si>
    <t>TRX-1121</t>
  </si>
  <si>
    <t>TRX-1122</t>
  </si>
  <si>
    <t>TRX-1123</t>
  </si>
  <si>
    <t xml:space="preserve"> Mates de Madera Calada </t>
  </si>
  <si>
    <t>TRX-1124</t>
  </si>
  <si>
    <t>TRX-1125</t>
  </si>
  <si>
    <t xml:space="preserve"> TRX-1126 </t>
  </si>
  <si>
    <t>TRX-1127</t>
  </si>
  <si>
    <t>TRX-1128</t>
  </si>
  <si>
    <t>TRX-1129</t>
  </si>
  <si>
    <t>TRX-1130</t>
  </si>
  <si>
    <t>TRX-1131</t>
  </si>
  <si>
    <t>TRX-1132</t>
  </si>
  <si>
    <t>TRX-1133</t>
  </si>
  <si>
    <t xml:space="preserve"> Teclado Mecánico RGB </t>
  </si>
  <si>
    <t>TRX-1134</t>
  </si>
  <si>
    <t xml:space="preserve"> TRX-1135 </t>
  </si>
  <si>
    <t>soporte regulable notebook</t>
  </si>
  <si>
    <t>TRX-1136</t>
  </si>
  <si>
    <t>TRX-1137</t>
  </si>
  <si>
    <t xml:space="preserve"> Yerba Mate Premium 1kg </t>
  </si>
  <si>
    <t>TRX-1138</t>
  </si>
  <si>
    <t>TRX-1139</t>
  </si>
  <si>
    <t>TRX-1140</t>
  </si>
  <si>
    <t>TRX-1141</t>
  </si>
  <si>
    <t>TRX-1142</t>
  </si>
  <si>
    <t>TRX-1143</t>
  </si>
  <si>
    <t>TRX-1144</t>
  </si>
  <si>
    <t>TRX-1145</t>
  </si>
  <si>
    <t>TRX-1146</t>
  </si>
  <si>
    <t>TRX-1147</t>
  </si>
  <si>
    <t>TRX-1148</t>
  </si>
  <si>
    <t>TRX-1149</t>
  </si>
  <si>
    <t>TRX-1150</t>
  </si>
  <si>
    <t>TRX-1151</t>
  </si>
  <si>
    <t>TRX-1152</t>
  </si>
  <si>
    <t>TRX-1153</t>
  </si>
  <si>
    <t xml:space="preserve"> TRX-1154 </t>
  </si>
  <si>
    <t>TRX-1155</t>
  </si>
  <si>
    <t>TRX-1156</t>
  </si>
  <si>
    <t xml:space="preserve"> Cargador Rápido USB-C 65W </t>
  </si>
  <si>
    <t>TRX-1157</t>
  </si>
  <si>
    <t>TRX-1158</t>
  </si>
  <si>
    <t>auriculares bluetooth pro</t>
  </si>
  <si>
    <t>TRX-1159</t>
  </si>
  <si>
    <t>TRX-1160</t>
  </si>
  <si>
    <t>TRX-1161</t>
  </si>
  <si>
    <t>TRX-1162</t>
  </si>
  <si>
    <t>TRX-1163</t>
  </si>
  <si>
    <t>TRX-1164</t>
  </si>
  <si>
    <t>TRX-1165</t>
  </si>
  <si>
    <t>TRX-1166</t>
  </si>
  <si>
    <t>TRX-1167</t>
  </si>
  <si>
    <t>TRX-1168</t>
  </si>
  <si>
    <t>TRX-1169</t>
  </si>
  <si>
    <t>TRX-1170</t>
  </si>
  <si>
    <t>TRX-1171</t>
  </si>
  <si>
    <t xml:space="preserve"> TRX-1172 </t>
  </si>
  <si>
    <t>TRX-1173</t>
  </si>
  <si>
    <t>TRX-1174</t>
  </si>
  <si>
    <t>TRX-1175</t>
  </si>
  <si>
    <t>TRX-1176</t>
  </si>
  <si>
    <t xml:space="preserve"> TRX-1177 </t>
  </si>
  <si>
    <t>TRX-1178</t>
  </si>
  <si>
    <t xml:space="preserve"> TRX-1179 </t>
  </si>
  <si>
    <t>TRX-1180</t>
  </si>
  <si>
    <t>TRX-1181</t>
  </si>
  <si>
    <t>TRX-1182</t>
  </si>
  <si>
    <t>TRX-1183</t>
  </si>
  <si>
    <t xml:space="preserve"> TRX-1184 </t>
  </si>
  <si>
    <t>TRX-1185</t>
  </si>
  <si>
    <t>TRX-1186</t>
  </si>
  <si>
    <t>TRX-1187</t>
  </si>
  <si>
    <t xml:space="preserve"> Alimento Perro Adulto 15kg </t>
  </si>
  <si>
    <t>TRX-1188</t>
  </si>
  <si>
    <t xml:space="preserve"> Alimento Gato Castrado 10kg </t>
  </si>
  <si>
    <t>TRX-1189</t>
  </si>
  <si>
    <t>TRX-1190</t>
  </si>
  <si>
    <t>TRX-1191</t>
  </si>
  <si>
    <t xml:space="preserve"> TRX-1192 </t>
  </si>
  <si>
    <t>TRX-1193</t>
  </si>
  <si>
    <t>TRX-1194</t>
  </si>
  <si>
    <t xml:space="preserve"> TRX-1195 </t>
  </si>
  <si>
    <t>TRX-1196</t>
  </si>
  <si>
    <t>TRX-1197</t>
  </si>
  <si>
    <t>TRX-1198</t>
  </si>
  <si>
    <t>TRX-1199</t>
  </si>
  <si>
    <t>TRX-1200</t>
  </si>
  <si>
    <t>Sucursal_limpio</t>
  </si>
  <si>
    <t>Vendedor_limpio</t>
  </si>
  <si>
    <t>Producto_limpio</t>
  </si>
  <si>
    <t>Largo_ID</t>
  </si>
  <si>
    <t>Cantidad_Auditada</t>
  </si>
  <si>
    <t>ID_Transaccion_Limpio</t>
  </si>
  <si>
    <t>Largo_ID2</t>
  </si>
  <si>
    <t>SKU</t>
  </si>
  <si>
    <t>Categoria</t>
  </si>
  <si>
    <t>Proveedor</t>
  </si>
  <si>
    <t>Precio_Lista</t>
  </si>
  <si>
    <t>Costo_Base</t>
  </si>
  <si>
    <t>SKU-101</t>
  </si>
  <si>
    <t>Alimentos</t>
  </si>
  <si>
    <t>Cooperativa Neike</t>
  </si>
  <si>
    <t>SKU-102</t>
  </si>
  <si>
    <t>Mascotas</t>
  </si>
  <si>
    <t>NutriDog Arg</t>
  </si>
  <si>
    <t>SKU-103</t>
  </si>
  <si>
    <t>Tecnología</t>
  </si>
  <si>
    <t>TechImport S.R.L.</t>
  </si>
  <si>
    <t>SKU-104</t>
  </si>
  <si>
    <t>SKU-105</t>
  </si>
  <si>
    <t>PetStyle Litoral</t>
  </si>
  <si>
    <t>SKU-106</t>
  </si>
  <si>
    <t>SKU-107</t>
  </si>
  <si>
    <t>SKU-108</t>
  </si>
  <si>
    <t>SKU-109</t>
  </si>
  <si>
    <t>Distribuidora del Nordeste</t>
  </si>
  <si>
    <t>SKU-110</t>
  </si>
  <si>
    <t>Bazar</t>
  </si>
  <si>
    <t>Artesanías Guaraníes</t>
  </si>
  <si>
    <t>SKU-111</t>
  </si>
  <si>
    <t>SKU-112</t>
  </si>
  <si>
    <t>SKU-113</t>
  </si>
  <si>
    <t>SKU-114</t>
  </si>
  <si>
    <t>SKU-115</t>
  </si>
  <si>
    <t>Categoria_oficial</t>
  </si>
  <si>
    <t>Proveedor_Oficial</t>
  </si>
  <si>
    <t>Total_Venta</t>
  </si>
  <si>
    <t>Total_Costo</t>
  </si>
  <si>
    <t>Ganancia</t>
  </si>
  <si>
    <t>Comision</t>
  </si>
  <si>
    <t>Corrientes</t>
  </si>
  <si>
    <t>Facturación Total</t>
  </si>
  <si>
    <t>Ganancia neta total (€)</t>
  </si>
  <si>
    <t>Margen neto promedio</t>
  </si>
  <si>
    <t>Categoría oficial</t>
  </si>
  <si>
    <t>Ventas (€)</t>
  </si>
  <si>
    <t xml:space="preserve">Facturación Total General </t>
  </si>
  <si>
    <t>CATEGORÍA</t>
  </si>
  <si>
    <t>TOTAL VENTA</t>
  </si>
  <si>
    <t>Dashboard comercial alternativo · 1er trimestre 2026</t>
  </si>
  <si>
    <t>CÁLCULOS AUXILIARES · no editar (alimentan filtros, ranking y gráficos)</t>
  </si>
  <si>
    <t>Fuente: tabla ventas_raw_200 (200 transacciones, 01/01–31/03/2026) + maestro_productos_15. Importes sin símbolo: las sucursales son argentinas y los precios encajan con ARS (el dashboard original los etiqueta en €).</t>
  </si>
  <si>
    <t>Lista sucursal</t>
  </si>
  <si>
    <t>Lista mes</t>
  </si>
  <si>
    <t>Todas</t>
  </si>
  <si>
    <t>Todos</t>
  </si>
  <si>
    <t>Filtro sucursal ▸</t>
  </si>
  <si>
    <t>Filtro mes ▸</t>
  </si>
  <si>
    <t>Celdas amarillas = desplegables. Cada bloque indica qué filtros le afectan.</t>
  </si>
  <si>
    <t>Enero</t>
  </si>
  <si>
    <t>Febrero</t>
  </si>
  <si>
    <t>FACTURACIÓN</t>
  </si>
  <si>
    <t>MARGEN BRUTO (Ganancia)</t>
  </si>
  <si>
    <t>MARGEN BRUTO %</t>
  </si>
  <si>
    <t>COMISIONES</t>
  </si>
  <si>
    <t>Marzo</t>
  </si>
  <si>
    <t>% del total trimestre</t>
  </si>
  <si>
    <t>Antes de comisiones · % s/venta</t>
  </si>
  <si>
    <t>Media del trimestre (sin filtros)</t>
  </si>
  <si>
    <t>% sobre facturación</t>
  </si>
  <si>
    <t>Nº de mes seleccionado (0 = todos)</t>
  </si>
  <si>
    <t>Días del periodo seleccionado</t>
  </si>
  <si>
    <t>CONTRIBUCIÓN TRAS COMISIONES</t>
  </si>
  <si>
    <t>TRANSACCIONES</t>
  </si>
  <si>
    <t>TICKET MEDIO</t>
  </si>
  <si>
    <t>UNIDADES (auditadas)</t>
  </si>
  <si>
    <t>Semana</t>
  </si>
  <si>
    <t>Inicio (lunes)</t>
  </si>
  <si>
    <t>Fin</t>
  </si>
  <si>
    <t>Días con periodo</t>
  </si>
  <si>
    <t>Facturación</t>
  </si>
  <si>
    <t>Venta media / día</t>
  </si>
  <si>
    <t>Media móvil 3 semanas</t>
  </si>
  <si>
    <t>Transacciones / día</t>
  </si>
  <si>
    <t>Unidades / transacción</t>
  </si>
  <si>
    <t>S1</t>
  </si>
  <si>
    <t>S2</t>
  </si>
  <si>
    <t>Hallazgos clave</t>
  </si>
  <si>
    <t>S3</t>
  </si>
  <si>
    <t>Lectura del trimestre completo, sin filtros (texto fijo redactado a 24/10/2026; las cifras del resto del dashboard sí son fórmulas).</t>
  </si>
  <si>
    <t>S4</t>
  </si>
  <si>
    <t>1 · Concentración: Tecnología = 48,8 % de la facturación. 5 de 15 productos generan el 60 % y 9 productos el 87 % (ver Pareto ABC).</t>
  </si>
  <si>
    <t>S5</t>
  </si>
  <si>
    <t>2 · El esquema de comisiones premia el precio, no el margen: los productos con precio unitario &gt; 25.000 son el 58,5 % de la venta con un margen del 33,7 % (vs 37,1 % del resto), pero se llevan el 76 % de las comisiones (4,5 % s/venta vs 2,0 %).</t>
  </si>
  <si>
    <t>S6</t>
  </si>
  <si>
    <t>3 · Los productos más rentables (Juguete Mordillo 43,8 %, Mates 43,5 %, Snack Perro 41,9 %) son los que menos facturan; el nº 1 en ventas (Teclado RGB, 33,3 %) es el de menor margen de Tecnología.</t>
  </si>
  <si>
    <t>S7</t>
  </si>
  <si>
    <t>4 · La venta media diaria cae de ≈472.500 (ene) a ≈419.100 (mar), −11 %, pero con 200 transacciones la semana oscila entre ≈171.000 y ≈829.000/día: señal a vigilar, no tendencia demostrada. Febrero: menos transacciones (52) y ticket medio más alto.</t>
  </si>
  <si>
    <t>S8</t>
  </si>
  <si>
    <t>5 · Formosa factura la mitad que Resistencia (6,5 M vs 13,4 M) y casi no vende Bazar. Corrientes paga 4,6 % de comisión s/venta frente a ≈3,1 % del resto por su tramo del 6 %.</t>
  </si>
  <si>
    <t>S9</t>
  </si>
  <si>
    <t>6 · Precio unitario = precio de lista en 200/200 ventas: no hay descuentos, así que el margen % solo se mueve por mix de producto. 194 de 200 registros tenían al menos un defecto de formato (ver Calidad de datos).</t>
  </si>
  <si>
    <t>S10</t>
  </si>
  <si>
    <t>S11</t>
  </si>
  <si>
    <t>1 · Evolución temporal</t>
  </si>
  <si>
    <t>S12</t>
  </si>
  <si>
    <t>Filtro aplicado: Sucursal. (El filtro de mes no aplica: este bloque compara meses.)</t>
  </si>
  <si>
    <t>S13</t>
  </si>
  <si>
    <t>Mes</t>
  </si>
  <si>
    <t>Días</t>
  </si>
  <si>
    <t>Transacciones</t>
  </si>
  <si>
    <t>Δ % vs mes anterior</t>
  </si>
  <si>
    <t>Δ % venta / día</t>
  </si>
  <si>
    <t>Ticket medio</t>
  </si>
  <si>
    <t>Margen bruto %</t>
  </si>
  <si>
    <t>S14</t>
  </si>
  <si>
    <t>Producto (maestro)</t>
  </si>
  <si>
    <t>Categoría</t>
  </si>
  <si>
    <t>Precio lista</t>
  </si>
  <si>
    <t>Unidades</t>
  </si>
  <si>
    <t>Clave orden</t>
  </si>
  <si>
    <t>Fila ranking</t>
  </si>
  <si>
    <t>Trimestre</t>
  </si>
  <si>
    <t>← Δ mar vs ene</t>
  </si>
  <si>
    <t>2 · Sucursal × Categoría (mapa de calor de facturación)</t>
  </si>
  <si>
    <t>Filtro aplicado: Mes. Intensidad de color = facturación de la celda.</t>
  </si>
  <si>
    <t>Total</t>
  </si>
  <si>
    <t>% s/total</t>
  </si>
  <si>
    <t>Comisión % s/venta</t>
  </si>
  <si>
    <t>Contribución %</t>
  </si>
  <si>
    <t>3 · Vendedores</t>
  </si>
  <si>
    <t>Filtros aplicados: Sucursal y Mes. Barras = facturación relativa.</t>
  </si>
  <si>
    <t>Comisión</t>
  </si>
  <si>
    <t>Maria Gomez</t>
  </si>
  <si>
    <t>4 · Productos · ranking y Pareto ABC</t>
  </si>
  <si>
    <t>Filtros aplicados: Sucursal y Mes. Ordenado por facturación. Clase A = productos que acumulan hasta el umbral A; B hasta umbral B; resto C.</t>
  </si>
  <si>
    <t>Umbral A</t>
  </si>
  <si>
    <t>% acumulado</t>
  </si>
  <si>
    <t>Clase ABC</t>
  </si>
  <si>
    <t>Tramo comisión</t>
  </si>
  <si>
    <t>Nº</t>
  </si>
  <si>
    <t>5 · Calidad de datos (auditoría de la tabla bruta)</t>
  </si>
  <si>
    <t>Sin filtros. Mide lo que la limpieza de columnas *_limpio / Cantidad_Auditada ha tenido que corregir.</t>
  </si>
  <si>
    <t>Control</t>
  </si>
  <si>
    <t>Registros</t>
  </si>
  <si>
    <t>Estado</t>
  </si>
  <si>
    <t>Impacto en facturación</t>
  </si>
  <si>
    <t>Comentario</t>
  </si>
  <si>
    <t>Sucursal con espacios / mayúsculas</t>
  </si>
  <si>
    <t>—</t>
  </si>
  <si>
    <t>Corregido con PROPER(TRIM()). 7 variantes de texto → 4 sucursales.</t>
  </si>
  <si>
    <t>Vendedor con espacios / mayúsculas</t>
  </si>
  <si>
    <t>7 variantes → 4 vendedores.</t>
  </si>
  <si>
    <t>Producto con espacios / mayúsculas</t>
  </si>
  <si>
    <t>40 variantes → 15 productos. Ojo: PROPER deja '1Kg', '500Ml' (cosmético; el cruce funciona porque no distingue mayúsculas).</t>
  </si>
  <si>
    <t>ID de transacción con espacios</t>
  </si>
  <si>
    <t>Corregido con TRIM().</t>
  </si>
  <si>
    <t>ID duplicado (tras limpieza)</t>
  </si>
  <si>
    <t>La clave de transacción debe ser única.</t>
  </si>
  <si>
    <t>Cantidad negativa (imputada como 1)</t>
  </si>
  <si>
    <t>Decisión discutible: −5 parece una devolución. Imputar 1 suma esta venta; tratarlo como devolución restaría además 5 uds × precio.</t>
  </si>
  <si>
    <t>Producto sin cruce con el maestro</t>
  </si>
  <si>
    <t>Cruce con XLOOKUP sobre el maestro (no distingue mayúsculas).</t>
  </si>
  <si>
    <t>Precio unitario ≠ precio de lista</t>
  </si>
  <si>
    <t>No hay descuentos: el margen % de cada producto es fijo.</t>
  </si>
  <si>
    <t>Coste unitario ≠ coste base</t>
  </si>
  <si>
    <t>Si es 0, el margen viene íntegramente del maestro.</t>
  </si>
  <si>
    <t>Registros con ≥ 1 incidencia</t>
  </si>
  <si>
    <t>El origen necesita validación en la captura, no solo limpieza posterior.</t>
  </si>
  <si>
    <t>6 · Simulador de comisiones (what-if)</t>
  </si>
  <si>
    <t>Sin filtros. Cambia las celdas amarillas (texto azul). Con los valores por defecto el esquema actual debe cuadrar con la columna Comision.</t>
  </si>
  <si>
    <t>Parámetros</t>
  </si>
  <si>
    <t>Valor</t>
  </si>
  <si>
    <t>Resultado</t>
  </si>
  <si>
    <t>Esquema actual (parámetros)</t>
  </si>
  <si>
    <t>Alternativo (% s/margen)</t>
  </si>
  <si>
    <t>Diferencia</t>
  </si>
  <si>
    <t>Umbral de precio unitario</t>
  </si>
  <si>
    <t>Comisión total</t>
  </si>
  <si>
    <t>Tasa base</t>
  </si>
  <si>
    <t>Comisión % s/facturación</t>
  </si>
  <si>
    <t>Tasa precio alto</t>
  </si>
  <si>
    <t>Contribución tras comisiones</t>
  </si>
  <si>
    <t>Tasa precio alto en Corrientes</t>
  </si>
  <si>
    <t>% de la comisión en productos de precio alto</t>
  </si>
  <si>
    <t>Alternativa: % sobre margen bruto</t>
  </si>
  <si>
    <t>Control: comisión actual en la tabla</t>
  </si>
  <si>
    <t>Supuestos tomados de la fórmula de la columna Comision (tramos del 2 / 4 / 6 %). La tasa alternativa es una propuesta para comparar.</t>
  </si>
  <si>
    <t>Lectura: con una comisión sobre margen el incentivo deja de empujar hacia los productos caros y de menor margen; la tasa que iguala el coste actual es ≈ 9,8 %.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</si>
</sst>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&quot;€&quot;#,##0.00"/>
    <numFmt numFmtId="165" formatCode="#,##0\ \€"/>
    <numFmt numFmtId="166" formatCode="[$$-2C0A]\ #,##0.0"/>
    <numFmt numFmtId="167" formatCode="[$$-2C0A]\ #,##0.00"/>
    <numFmt numFmtId="168" formatCode="dd/mm"/>
    <numFmt numFmtId="169" formatCode="#,##0.000"/>
    <numFmt numFmtId="170" formatCode="0.0%"/>
    <numFmt numFmtId="171" formatCode="0.0"/>
    <numFmt numFmtId="172" formatCode="\+0.0%;\-0.0%;0.0%"/>
    <numFmt numFmtId="173" formatCode="\+#,##0;\-#,##0;0"/>
  </numFmts>
  <fonts count="29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FFFF"/>
      <name val="Aptos Narrow"/>
      <family val="2"/>
      <scheme val="minor"/>
    </font>
    <font>
      <b/>
      <sz val="14"/>
      <color theme="1"/>
      <name val="Montserrat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5B6573"/>
      <name val="Arial"/>
    </font>
    <font>
      <b/>
      <sz val="8"/>
      <color rgb="FF5B6573"/>
      <name val="Arial"/>
    </font>
    <font>
      <sz val="9"/>
      <color rgb="FF5B6573"/>
      <name val="Arial"/>
    </font>
    <font>
      <b/>
      <sz val="18"/>
      <color rgb="FF1F3A5F"/>
      <name val="Arial"/>
    </font>
    <font>
      <i/>
      <sz val="8.5"/>
      <color rgb="FF5B6573"/>
      <name val="Arial"/>
    </font>
    <font>
      <b/>
      <sz val="10"/>
      <color rgb="FF1F3A5F"/>
      <name val="Arial"/>
    </font>
    <font>
      <b/>
      <sz val="10"/>
      <color rgb="FF000000"/>
      <name val="Arial"/>
    </font>
    <font>
      <b/>
      <sz val="8.5"/>
      <color rgb="FF2A7F8E"/>
      <name val="Arial"/>
    </font>
    <font>
      <sz val="8.5"/>
      <color rgb="FF5B6573"/>
      <name val="Arial"/>
    </font>
    <font>
      <b/>
      <sz val="12"/>
      <color rgb="FFFFFFFF"/>
      <name val="Arial"/>
    </font>
    <font>
      <sz val="9.5"/>
      <color rgb="FF1F2933"/>
      <name val="Arial"/>
    </font>
    <font>
      <b/>
      <sz val="9"/>
      <color rgb="FF1F3A5F"/>
      <name val="Arial"/>
    </font>
    <font>
      <sz val="10"/>
      <color rgb="FF1F2933"/>
      <name val="Arial"/>
    </font>
    <font>
      <b/>
      <sz val="10"/>
      <color rgb="FF1F2933"/>
      <name val="Arial"/>
    </font>
    <font>
      <b/>
      <sz val="8.5"/>
      <color rgb="FF5B6573"/>
      <name val="Arial"/>
    </font>
    <font>
      <b/>
      <sz val="9"/>
      <color rgb="FF0000FF"/>
      <name val="Arial"/>
    </font>
    <font>
      <sz val="10"/>
      <color rgb="FF5B6573"/>
      <name val="Arial"/>
    </font>
    <font>
      <b/>
      <sz val="10"/>
      <color rgb="FF0000FF"/>
      <name val="Arial"/>
    </font>
    <font>
      <i/>
      <sz val="8"/>
      <color rgb="FF5B6573"/>
      <name val="Arial"/>
    </font>
    <font>
      <b/>
      <sz val="10"/>
      <color rgb="FF2A7F8E"/>
      <name val="Arial"/>
    </font>
    <font>
      <b/>
      <sz val="10"/>
      <color rgb="FF5B6573"/>
      <name val="Arial"/>
    </font>
    <font>
      <i/>
      <sz val="9"/>
      <color rgb="FF5B6573"/>
      <name val="Arial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7365D"/>
        <bgColor indexed="64"/>
      </patternFill>
    </fill>
    <fill>
      <patternFill patternType="none"/>
    </fill>
    <fill>
      <patternFill patternType="solid">
        <fgColor rgb="FFFFF2CC"/>
      </patternFill>
    </fill>
    <fill>
      <patternFill patternType="solid">
        <fgColor rgb="FFF2F4F7"/>
      </patternFill>
    </fill>
    <fill>
      <patternFill patternType="solid">
        <fgColor rgb="FF1F3A5F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D9DEE5"/>
      </bottom>
      <diagonal/>
    </border>
    <border>
      <left style="thin">
        <color rgb="FFD9DEE5"/>
      </left>
      <right style="thin">
        <color rgb="FFD9DEE5"/>
      </right>
      <top style="thin">
        <color rgb="FFD9DEE5"/>
      </top>
      <bottom style="thin">
        <color rgb="FFD9DEE5"/>
      </bottom>
      <diagonal/>
    </border>
    <border>
      <left/>
      <right/>
      <top style="medium">
        <color rgb="FF2A7F8E"/>
      </top>
      <bottom/>
      <diagonal/>
    </border>
    <border>
      <left/>
      <right/>
      <top style="thin">
        <color rgb="FF5B6573"/>
      </top>
      <bottom/>
      <diagonal/>
    </border>
    <border>
      <left/>
      <right/>
      <top/>
      <bottom style="thin">
        <color rgb="FFD9DEE5"/>
      </bottom>
      <diagonal/>
    </border>
  </borders>
  <cellStyleXfs count="1">
    <xf numFmtId="0" fontId="0" fillId="0" borderId="0"/>
  </cellStyleXfs>
  <cellXfs count="92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10"/>
    </xf>
    <xf numFmtId="0" fontId="3" fillId="2" borderId="0" xfId="0" applyFont="1" applyFill="1"/>
    <xf numFmtId="4" fontId="0" fillId="0" borderId="0" xfId="0" applyNumberFormat="1"/>
    <xf numFmtId="0" fontId="0" fillId="3" borderId="0" xfId="0" applyFill="1"/>
    <xf numFmtId="0" fontId="4" fillId="0" borderId="1" xfId="0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165" fontId="0" fillId="0" borderId="0" xfId="0" applyNumberFormat="1"/>
    <xf numFmtId="0" fontId="3" fillId="4" borderId="0" xfId="0" applyFont="1" applyFill="1"/>
    <xf numFmtId="166" fontId="4" fillId="0" borderId="1" xfId="0" applyNumberFormat="1" applyFont="1" applyBorder="1" applyAlignment="1">
      <alignment horizontal="center" vertical="center"/>
    </xf>
    <xf numFmtId="0" fontId="0" fillId="0" borderId="0" xfId="0" pivotButton="1"/>
    <xf numFmtId="167" fontId="0" fillId="0" borderId="0" xfId="0" applyNumberFormat="1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7" fillId="5" borderId="2" xfId="0" applyFont="1" applyFill="1" applyBorder="1"/>
    <xf numFmtId="0" fontId="8" fillId="5" borderId="2" xfId="0" applyFont="1" applyFill="1" applyBorder="1"/>
    <xf numFmtId="0" fontId="9" fillId="5" borderId="2" xfId="0" applyFont="1" applyFill="1" applyBorder="1"/>
    <xf numFmtId="0" fontId="12" fillId="5" borderId="2" xfId="0" applyFont="1" applyFill="1" applyBorder="1" applyAlignment="1">
      <alignment horizontal="right" vertical="center"/>
    </xf>
    <xf numFmtId="0" fontId="13" fillId="6" borderId="4" xfId="0" applyFont="1" applyFill="1" applyBorder="1" applyAlignment="1">
      <alignment horizontal="center" vertical="center"/>
    </xf>
    <xf numFmtId="170" fontId="7" fillId="7" borderId="2" xfId="0" applyNumberFormat="1" applyFont="1" applyFill="1" applyBorder="1" applyAlignment="1">
      <alignment horizontal="right" vertical="center" indent="1"/>
    </xf>
    <xf numFmtId="0" fontId="8" fillId="5" borderId="3" xfId="0" applyFont="1" applyFill="1" applyBorder="1"/>
    <xf numFmtId="171" fontId="7" fillId="7" borderId="2" xfId="0" applyNumberFormat="1" applyFont="1" applyFill="1" applyBorder="1" applyAlignment="1">
      <alignment horizontal="right" vertical="center" indent="1"/>
    </xf>
    <xf numFmtId="3" fontId="7" fillId="7" borderId="2" xfId="0" applyNumberFormat="1" applyFont="1" applyFill="1" applyBorder="1" applyAlignment="1">
      <alignment horizontal="right" vertical="center" indent="1"/>
    </xf>
    <xf numFmtId="168" fontId="9" fillId="5" borderId="2" xfId="0" applyNumberFormat="1" applyFont="1" applyFill="1" applyBorder="1"/>
    <xf numFmtId="3" fontId="9" fillId="5" borderId="2" xfId="0" applyNumberFormat="1" applyFont="1" applyFill="1" applyBorder="1"/>
    <xf numFmtId="0" fontId="11" fillId="5" borderId="2" xfId="0" applyFont="1" applyFill="1" applyBorder="1" applyAlignment="1">
      <alignment horizontal="left" indent="1"/>
    </xf>
    <xf numFmtId="0" fontId="18" fillId="7" borderId="3" xfId="0" applyFont="1" applyFill="1" applyBorder="1" applyAlignment="1">
      <alignment horizontal="left" vertical="center" wrapText="1" indent="1"/>
    </xf>
    <xf numFmtId="0" fontId="18" fillId="7" borderId="3" xfId="0" applyFont="1" applyFill="1" applyBorder="1" applyAlignment="1">
      <alignment horizontal="right" vertical="center" wrapText="1"/>
    </xf>
    <xf numFmtId="0" fontId="19" fillId="5" borderId="2" xfId="0" applyFont="1" applyFill="1" applyBorder="1" applyAlignment="1">
      <alignment horizontal="left" vertical="center" indent="1"/>
    </xf>
    <xf numFmtId="3" fontId="19" fillId="5" borderId="2" xfId="0" applyNumberFormat="1" applyFont="1" applyFill="1" applyBorder="1"/>
    <xf numFmtId="172" fontId="19" fillId="5" borderId="2" xfId="0" applyNumberFormat="1" applyFont="1" applyFill="1" applyBorder="1"/>
    <xf numFmtId="170" fontId="19" fillId="5" borderId="2" xfId="0" applyNumberFormat="1" applyFont="1" applyFill="1" applyBorder="1"/>
    <xf numFmtId="0" fontId="20" fillId="5" borderId="6" xfId="0" applyFont="1" applyFill="1" applyBorder="1" applyAlignment="1">
      <alignment horizontal="left" vertical="center" indent="1"/>
    </xf>
    <xf numFmtId="3" fontId="20" fillId="5" borderId="6" xfId="0" applyNumberFormat="1" applyFont="1" applyFill="1" applyBorder="1"/>
    <xf numFmtId="0" fontId="6" fillId="5" borderId="6" xfId="0" applyFont="1" applyFill="1" applyBorder="1"/>
    <xf numFmtId="172" fontId="20" fillId="5" borderId="6" xfId="0" applyNumberFormat="1" applyFont="1" applyFill="1" applyBorder="1"/>
    <xf numFmtId="170" fontId="20" fillId="5" borderId="6" xfId="0" applyNumberFormat="1" applyFont="1" applyFill="1" applyBorder="1"/>
    <xf numFmtId="0" fontId="11" fillId="5" borderId="2" xfId="0" applyFont="1" applyFill="1" applyBorder="1"/>
    <xf numFmtId="169" fontId="9" fillId="5" borderId="2" xfId="0" applyNumberFormat="1" applyFont="1" applyFill="1" applyBorder="1"/>
    <xf numFmtId="3" fontId="20" fillId="5" borderId="2" xfId="0" applyNumberFormat="1" applyFont="1" applyFill="1" applyBorder="1"/>
    <xf numFmtId="0" fontId="9" fillId="5" borderId="2" xfId="0" applyFont="1" applyFill="1" applyBorder="1" applyAlignment="1">
      <alignment horizontal="left" vertical="center" indent="1"/>
    </xf>
    <xf numFmtId="170" fontId="9" fillId="5" borderId="2" xfId="0" applyNumberFormat="1" applyFont="1" applyFill="1" applyBorder="1"/>
    <xf numFmtId="0" fontId="21" fillId="5" borderId="2" xfId="0" applyFont="1" applyFill="1" applyBorder="1" applyAlignment="1">
      <alignment horizontal="right" vertical="center"/>
    </xf>
    <xf numFmtId="170" fontId="22" fillId="6" borderId="4" xfId="0" applyNumberFormat="1" applyFont="1" applyFill="1" applyBorder="1" applyAlignment="1">
      <alignment horizontal="center" vertical="center"/>
    </xf>
    <xf numFmtId="0" fontId="23" fillId="5" borderId="2" xfId="0" applyFont="1" applyFill="1" applyBorder="1"/>
    <xf numFmtId="0" fontId="20" fillId="5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right" vertical="center"/>
    </xf>
    <xf numFmtId="0" fontId="9" fillId="5" borderId="2" xfId="0" applyFont="1" applyFill="1" applyBorder="1" applyAlignment="1">
      <alignment horizontal="center" vertical="center"/>
    </xf>
    <xf numFmtId="3" fontId="19" fillId="5" borderId="2" xfId="0" applyNumberFormat="1" applyFont="1" applyFill="1" applyBorder="1" applyAlignment="1">
      <alignment horizontal="right" vertical="center"/>
    </xf>
    <xf numFmtId="0" fontId="19" fillId="5" borderId="6" xfId="0" applyFont="1" applyFill="1" applyBorder="1" applyAlignment="1">
      <alignment horizontal="left" vertical="center" indent="1"/>
    </xf>
    <xf numFmtId="3" fontId="19" fillId="5" borderId="6" xfId="0" applyNumberFormat="1" applyFont="1" applyFill="1" applyBorder="1"/>
    <xf numFmtId="170" fontId="19" fillId="5" borderId="6" xfId="0" applyNumberFormat="1" applyFont="1" applyFill="1" applyBorder="1"/>
    <xf numFmtId="0" fontId="20" fillId="5" borderId="6" xfId="0" applyFont="1" applyFill="1" applyBorder="1" applyAlignment="1">
      <alignment horizontal="center" vertical="center"/>
    </xf>
    <xf numFmtId="3" fontId="19" fillId="5" borderId="6" xfId="0" applyNumberFormat="1" applyFont="1" applyFill="1" applyBorder="1" applyAlignment="1">
      <alignment horizontal="right" vertical="center"/>
    </xf>
    <xf numFmtId="0" fontId="18" fillId="7" borderId="3" xfId="0" applyFont="1" applyFill="1" applyBorder="1"/>
    <xf numFmtId="0" fontId="18" fillId="7" borderId="3" xfId="0" applyFont="1" applyFill="1" applyBorder="1" applyAlignment="1">
      <alignment horizontal="right" vertical="center"/>
    </xf>
    <xf numFmtId="3" fontId="24" fillId="6" borderId="4" xfId="0" applyNumberFormat="1" applyFont="1" applyFill="1" applyBorder="1" applyAlignment="1">
      <alignment horizontal="right" vertical="center"/>
    </xf>
    <xf numFmtId="3" fontId="26" fillId="5" borderId="2" xfId="0" applyNumberFormat="1" applyFont="1" applyFill="1" applyBorder="1"/>
    <xf numFmtId="173" fontId="19" fillId="5" borderId="2" xfId="0" applyNumberFormat="1" applyFont="1" applyFill="1" applyBorder="1"/>
    <xf numFmtId="170" fontId="24" fillId="6" borderId="4" xfId="0" applyNumberFormat="1" applyFont="1" applyFill="1" applyBorder="1" applyAlignment="1">
      <alignment horizontal="right" vertical="center"/>
    </xf>
    <xf numFmtId="170" fontId="20" fillId="5" borderId="2" xfId="0" applyNumberFormat="1" applyFont="1" applyFill="1" applyBorder="1"/>
    <xf numFmtId="170" fontId="26" fillId="5" borderId="2" xfId="0" applyNumberFormat="1" applyFont="1" applyFill="1" applyBorder="1"/>
    <xf numFmtId="0" fontId="16" fillId="8" borderId="2" xfId="0" applyFont="1" applyFill="1" applyBorder="1" applyAlignment="1">
      <alignment horizontal="left" vertical="center" indent="1"/>
    </xf>
    <xf numFmtId="0" fontId="6" fillId="8" borderId="2" xfId="0" applyFont="1" applyFill="1" applyBorder="1"/>
    <xf numFmtId="0" fontId="28" fillId="5" borderId="2" xfId="0" applyFont="1" applyFill="1" applyBorder="1"/>
    <xf numFmtId="0" fontId="0" fillId="0" borderId="0" xfId="0"/>
    <xf numFmtId="0" fontId="11" fillId="5" borderId="2" xfId="0" applyFont="1" applyFill="1" applyBorder="1" applyAlignment="1">
      <alignment horizontal="left" vertical="center" indent="1"/>
    </xf>
    <xf numFmtId="0" fontId="15" fillId="5" borderId="2" xfId="0" applyFont="1" applyFill="1" applyBorder="1" applyAlignment="1">
      <alignment horizontal="left" vertical="center" wrapText="1" indent="1"/>
    </xf>
    <xf numFmtId="0" fontId="17" fillId="5" borderId="2" xfId="0" applyFont="1" applyFill="1" applyBorder="1" applyAlignment="1">
      <alignment horizontal="left" vertical="center" wrapText="1" indent="1"/>
    </xf>
    <xf numFmtId="0" fontId="15" fillId="7" borderId="2" xfId="0" applyFont="1" applyFill="1" applyBorder="1" applyAlignment="1">
      <alignment horizontal="left" vertical="center" indent="1"/>
    </xf>
    <xf numFmtId="3" fontId="10" fillId="7" borderId="2" xfId="0" applyNumberFormat="1" applyFont="1" applyFill="1" applyBorder="1" applyAlignment="1">
      <alignment horizontal="left" vertical="center" indent="1"/>
    </xf>
    <xf numFmtId="0" fontId="14" fillId="7" borderId="5" xfId="0" applyFont="1" applyFill="1" applyBorder="1" applyAlignment="1">
      <alignment horizontal="left" vertical="center" indent="1"/>
    </xf>
    <xf numFmtId="0" fontId="6" fillId="5" borderId="5" xfId="0" applyFont="1" applyFill="1" applyBorder="1"/>
    <xf numFmtId="0" fontId="18" fillId="7" borderId="3" xfId="0" applyFont="1" applyFill="1" applyBorder="1" applyAlignment="1">
      <alignment horizontal="right" vertical="center" wrapText="1"/>
    </xf>
    <xf numFmtId="0" fontId="6" fillId="5" borderId="7" xfId="0" applyFont="1" applyFill="1" applyBorder="1"/>
    <xf numFmtId="0" fontId="10" fillId="5" borderId="2" xfId="0" applyFont="1" applyFill="1" applyBorder="1" applyAlignment="1">
      <alignment vertical="center" indent="1"/>
    </xf>
    <xf numFmtId="170" fontId="10" fillId="7" borderId="2" xfId="0" applyNumberFormat="1" applyFont="1" applyFill="1" applyBorder="1" applyAlignment="1">
      <alignment horizontal="left" vertical="center" indent="1"/>
    </xf>
    <xf numFmtId="0" fontId="19" fillId="5" borderId="2" xfId="0" applyFont="1" applyFill="1" applyBorder="1" applyAlignment="1">
      <alignment horizontal="left" vertical="center" wrapText="1" indent="1"/>
    </xf>
    <xf numFmtId="0" fontId="11" fillId="5" borderId="2" xfId="0" applyFont="1" applyFill="1" applyBorder="1" applyAlignment="1">
      <alignment vertical="top" wrapText="1" indent="1"/>
    </xf>
    <xf numFmtId="0" fontId="18" fillId="7" borderId="3" xfId="0" applyFont="1" applyFill="1" applyBorder="1" applyAlignment="1">
      <alignment horizontal="left" vertical="center" wrapText="1" indent="1"/>
    </xf>
    <xf numFmtId="0" fontId="27" fillId="5" borderId="2" xfId="0" applyFont="1" applyFill="1" applyBorder="1" applyAlignment="1">
      <alignment horizontal="left" vertical="center" wrapText="1" indent="1"/>
    </xf>
    <xf numFmtId="0" fontId="25" fillId="5" borderId="2" xfId="0" applyFont="1" applyFill="1" applyBorder="1" applyAlignment="1">
      <alignment vertical="top" wrapText="1" indent="1"/>
    </xf>
    <xf numFmtId="0" fontId="15" fillId="5" borderId="6" xfId="0" applyFont="1" applyFill="1" applyBorder="1" applyAlignment="1">
      <alignment horizontal="left" vertical="center" wrapText="1" indent="1"/>
    </xf>
    <xf numFmtId="0" fontId="6" fillId="5" borderId="6" xfId="0" applyFont="1" applyFill="1" applyBorder="1"/>
    <xf numFmtId="0" fontId="11" fillId="5" borderId="2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38">
    <dxf>
      <font>
        <b/>
        <color rgb="FF9B2C1F"/>
      </font>
      <fill>
        <patternFill patternType="solid">
          <fgColor rgb="FFF9DCD8"/>
        </patternFill>
      </fill>
    </dxf>
    <dxf>
      <font>
        <b/>
        <color rgb="FF8A6D00"/>
      </font>
      <fill>
        <patternFill patternType="solid">
          <fgColor rgb="FFFDF0C8"/>
        </patternFill>
      </fill>
    </dxf>
    <dxf>
      <font>
        <b/>
        <color rgb="FF1E6B3A"/>
      </font>
      <fill>
        <patternFill patternType="solid">
          <fgColor rgb="FFD5F0DD"/>
        </patternFill>
      </fill>
    </dxf>
    <dxf>
      <font>
        <b/>
        <color rgb="FFC0392B"/>
      </font>
    </dxf>
    <dxf>
      <font>
        <b/>
        <color rgb="FF1E8449"/>
      </font>
    </dxf>
    <dxf>
      <font>
        <b/>
        <color rgb="FF1E8449"/>
      </font>
    </dxf>
    <dxf>
      <font>
        <b/>
        <color rgb="FFC0392B"/>
      </font>
    </dxf>
    <dxf>
      <font>
        <b/>
        <color rgb="FF9B2C1F"/>
      </font>
      <fill>
        <patternFill patternType="solid">
          <fgColor rgb="FFF9DCD8"/>
        </patternFill>
      </fill>
    </dxf>
    <dxf>
      <font>
        <b/>
        <color rgb="FF1E6B3A"/>
      </font>
      <fill>
        <patternFill patternType="solid">
          <fgColor rgb="FFD5F0DD"/>
        </patternFill>
      </fill>
    </dxf>
    <dxf>
      <font>
        <b/>
      </font>
    </dxf>
    <dxf>
      <alignment horizontal="center"/>
    </dxf>
    <dxf>
      <alignment horizontal="center"/>
    </dxf>
    <dxf>
      <alignment horizontal="center"/>
    </dxf>
    <dxf>
      <font>
        <b/>
      </font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€&quot;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[Practica_Neoland.xlsx]Reporte_consolidado!TablaDinámica5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accent1">
                        <a:shade val="15000"/>
                      </a:schemeClr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Reporte_consolidado!$G$4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25B-48B1-B13C-58F7CECDB2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25B-48B1-B13C-58F7CECDB2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25B-48B1-B13C-58F7CECDB2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25B-48B1-B13C-58F7CECDB2D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accent1">
                          <a:shade val="15000"/>
                        </a:schemeClr>
                      </a:solidFill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Reporte_consolidado!$F$5:$F$8</c:f>
              <c:strCache>
                <c:ptCount val="4"/>
                <c:pt idx="0">
                  <c:v>Alimentos</c:v>
                </c:pt>
                <c:pt idx="1">
                  <c:v>Bazar</c:v>
                </c:pt>
                <c:pt idx="2">
                  <c:v>Mascotas</c:v>
                </c:pt>
                <c:pt idx="3">
                  <c:v>Tecnología</c:v>
                </c:pt>
              </c:strCache>
            </c:strRef>
          </c:cat>
          <c:val>
            <c:numRef>
              <c:f>Reporte_consolidado!$G$5:$G$8</c:f>
              <c:numCache>
                <c:formatCode>[$$-2C0A]\ #,##0.00</c:formatCode>
                <c:ptCount val="4"/>
                <c:pt idx="0">
                  <c:v>4607400</c:v>
                </c:pt>
                <c:pt idx="1">
                  <c:v>6317500</c:v>
                </c:pt>
                <c:pt idx="2">
                  <c:v>9850700</c:v>
                </c:pt>
                <c:pt idx="3">
                  <c:v>19763000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25B-48B1-B13C-58F7CECDB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[Practica_Neoland.xlsx]Reporte_consolidado!TablaDinámica6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Reporte_consolidado!$J$4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Reporte_consolidado!$I$5:$I$8</c:f>
              <c:strCache>
                <c:ptCount val="4"/>
                <c:pt idx="0">
                  <c:v>Corrientes</c:v>
                </c:pt>
                <c:pt idx="1">
                  <c:v>Formosa</c:v>
                </c:pt>
                <c:pt idx="2">
                  <c:v>Posadas</c:v>
                </c:pt>
                <c:pt idx="3">
                  <c:v>Resistencia</c:v>
                </c:pt>
              </c:strCache>
            </c:strRef>
          </c:cat>
          <c:val>
            <c:numRef>
              <c:f>Reporte_consolidado!$J$5:$J$8</c:f>
              <c:numCache>
                <c:formatCode>[$$-2C0A]\ #,##0.00</c:formatCode>
                <c:ptCount val="4"/>
                <c:pt idx="0">
                  <c:v>8339700</c:v>
                </c:pt>
                <c:pt idx="1">
                  <c:v>6499100</c:v>
                </c:pt>
                <c:pt idx="2">
                  <c:v>12305400</c:v>
                </c:pt>
                <c:pt idx="3">
                  <c:v>13394400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8F-450A-8532-19A53C4758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48245200"/>
        <c:axId val="1448250000"/>
      </c:barChart>
      <c:catAx>
        <c:axId val="144824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48250000"/>
        <c:crosses val="autoZero"/>
        <c:auto val="1"/>
        <c:lblAlgn val="ctr"/>
        <c:lblOffset val="100"/>
        <c:noMultiLvlLbl val="0"/>
      </c:catAx>
      <c:valAx>
        <c:axId val="144825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2C0A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48245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Venta media diaria por semana (filtro sucursal)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'Dashboard_Alternativo CLaude'!$U$11</c:f>
              <c:strCache>
                <c:ptCount val="1"/>
                <c:pt idx="0">
                  <c:v>Venta media / día</c:v>
                </c:pt>
              </c:strCache>
            </c:strRef>
          </c:tx>
          <c:spPr>
            <a:ln w="15875">
              <a:solidFill>
                <a:srgbClr val="9FC7CE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9FC7CE"/>
              </a:solidFill>
              <a:ln>
                <a:solidFill>
                  <a:srgbClr val="9FC7CE"/>
                </a:solidFill>
                <a:prstDash val="solid"/>
              </a:ln>
            </c:spPr>
          </c:marker>
          <c:cat>
            <c:numRef>
              <c:f>'Dashboard_Alternativo CLaude'!$Q$12:$Q$25</c:f>
              <c:numCache>
                <c:formatCode>dd/mm</c:formatCode>
                <c:ptCount val="14"/>
                <c:pt idx="0">
                  <c:v>46020</c:v>
                </c:pt>
                <c:pt idx="1">
                  <c:v>46027</c:v>
                </c:pt>
                <c:pt idx="2">
                  <c:v>46034</c:v>
                </c:pt>
                <c:pt idx="3">
                  <c:v>46041</c:v>
                </c:pt>
                <c:pt idx="4">
                  <c:v>46048</c:v>
                </c:pt>
                <c:pt idx="5">
                  <c:v>46055</c:v>
                </c:pt>
                <c:pt idx="6">
                  <c:v>46062</c:v>
                </c:pt>
                <c:pt idx="7">
                  <c:v>46069</c:v>
                </c:pt>
                <c:pt idx="8">
                  <c:v>46076</c:v>
                </c:pt>
                <c:pt idx="9">
                  <c:v>46083</c:v>
                </c:pt>
                <c:pt idx="10">
                  <c:v>46090</c:v>
                </c:pt>
                <c:pt idx="11">
                  <c:v>46097</c:v>
                </c:pt>
                <c:pt idx="12">
                  <c:v>46104</c:v>
                </c:pt>
                <c:pt idx="13">
                  <c:v>46111</c:v>
                </c:pt>
              </c:numCache>
            </c:numRef>
          </c:cat>
          <c:val>
            <c:numRef>
              <c:f>'Dashboard_Alternativo CLaude'!$U$12:$U$25</c:f>
              <c:numCache>
                <c:formatCode>#,##0</c:formatCode>
                <c:ptCount val="14"/>
                <c:pt idx="0">
                  <c:v>841450</c:v>
                </c:pt>
                <c:pt idx="1">
                  <c:v>531171.42857142852</c:v>
                </c:pt>
                <c:pt idx="2">
                  <c:v>389085.71428571426</c:v>
                </c:pt>
                <c:pt idx="3">
                  <c:v>205342.85714285713</c:v>
                </c:pt>
                <c:pt idx="4">
                  <c:v>672971.42857142852</c:v>
                </c:pt>
                <c:pt idx="5">
                  <c:v>390128.57142857142</c:v>
                </c:pt>
                <c:pt idx="6">
                  <c:v>318671.42857142858</c:v>
                </c:pt>
                <c:pt idx="7">
                  <c:v>829100</c:v>
                </c:pt>
                <c:pt idx="8">
                  <c:v>265671.42857142858</c:v>
                </c:pt>
                <c:pt idx="9">
                  <c:v>683914.28571428568</c:v>
                </c:pt>
                <c:pt idx="10">
                  <c:v>171200</c:v>
                </c:pt>
                <c:pt idx="11">
                  <c:v>286428.57142857142</c:v>
                </c:pt>
                <c:pt idx="12">
                  <c:v>371157.14285714284</c:v>
                </c:pt>
                <c:pt idx="13">
                  <c:v>684450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00-4BEA-8940-079002D16DC3}"/>
            </c:ext>
          </c:extLst>
        </c:ser>
        <c:ser>
          <c:idx val="1"/>
          <c:order val="1"/>
          <c:tx>
            <c:strRef>
              <c:f>'Dashboard_Alternativo CLaude'!$V$11</c:f>
              <c:strCache>
                <c:ptCount val="1"/>
                <c:pt idx="0">
                  <c:v>Media móvil 3 semanas</c:v>
                </c:pt>
              </c:strCache>
            </c:strRef>
          </c:tx>
          <c:spPr>
            <a:ln w="31750">
              <a:solidFill>
                <a:srgbClr val="1F3A5F"/>
              </a:solidFill>
              <a:prstDash val="solid"/>
            </a:ln>
          </c:spPr>
          <c:marker>
            <c:symbol val="none"/>
          </c:marker>
          <c:cat>
            <c:numRef>
              <c:f>'Dashboard_Alternativo CLaude'!$Q$12:$Q$25</c:f>
              <c:numCache>
                <c:formatCode>dd/mm</c:formatCode>
                <c:ptCount val="14"/>
                <c:pt idx="0">
                  <c:v>46020</c:v>
                </c:pt>
                <c:pt idx="1">
                  <c:v>46027</c:v>
                </c:pt>
                <c:pt idx="2">
                  <c:v>46034</c:v>
                </c:pt>
                <c:pt idx="3">
                  <c:v>46041</c:v>
                </c:pt>
                <c:pt idx="4">
                  <c:v>46048</c:v>
                </c:pt>
                <c:pt idx="5">
                  <c:v>46055</c:v>
                </c:pt>
                <c:pt idx="6">
                  <c:v>46062</c:v>
                </c:pt>
                <c:pt idx="7">
                  <c:v>46069</c:v>
                </c:pt>
                <c:pt idx="8">
                  <c:v>46076</c:v>
                </c:pt>
                <c:pt idx="9">
                  <c:v>46083</c:v>
                </c:pt>
                <c:pt idx="10">
                  <c:v>46090</c:v>
                </c:pt>
                <c:pt idx="11">
                  <c:v>46097</c:v>
                </c:pt>
                <c:pt idx="12">
                  <c:v>46104</c:v>
                </c:pt>
                <c:pt idx="13">
                  <c:v>46111</c:v>
                </c:pt>
              </c:numCache>
            </c:numRef>
          </c:cat>
          <c:val>
            <c:numRef>
              <c:f>'Dashboard_Alternativo CLaude'!$V$12:$V$25</c:f>
              <c:numCache>
                <c:formatCode>#,##0</c:formatCode>
                <c:ptCount val="14"/>
                <c:pt idx="0">
                  <c:v>841450</c:v>
                </c:pt>
                <c:pt idx="1">
                  <c:v>644000</c:v>
                </c:pt>
                <c:pt idx="2">
                  <c:v>544866.66666666663</c:v>
                </c:pt>
                <c:pt idx="3">
                  <c:v>375200</c:v>
                </c:pt>
                <c:pt idx="4">
                  <c:v>422466.66666666669</c:v>
                </c:pt>
                <c:pt idx="5">
                  <c:v>422814.28571428574</c:v>
                </c:pt>
                <c:pt idx="6">
                  <c:v>460590.47619047621</c:v>
                </c:pt>
                <c:pt idx="7">
                  <c:v>512633.33333333331</c:v>
                </c:pt>
                <c:pt idx="8">
                  <c:v>471147.61904761905</c:v>
                </c:pt>
                <c:pt idx="9">
                  <c:v>592895.23809523811</c:v>
                </c:pt>
                <c:pt idx="10">
                  <c:v>373595.23809523811</c:v>
                </c:pt>
                <c:pt idx="11">
                  <c:v>380514.28571428574</c:v>
                </c:pt>
                <c:pt idx="12">
                  <c:v>276261.90476190473</c:v>
                </c:pt>
                <c:pt idx="13">
                  <c:v>373250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00-4BEA-8940-079002D16D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date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Semana que empieza el (lunes). S1 y S14 son parciales: se divide por días reales.</a:t>
                </a:r>
              </a:p>
            </c:rich>
          </c:tx>
          <c:layout>
            <c:manualLayout>
              <c:xMode val="edge"/>
              <c:yMode val="edge"/>
              <c:x val="0.34684764309764315"/>
              <c:y val="0.71971296296296294"/>
            </c:manualLayout>
          </c:layout>
          <c:overlay val="1"/>
        </c:title>
        <c:numFmt formatCode="dd/mm" sourceLinked="0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7806683501683502"/>
          <c:y val="0.6321168981481482"/>
          <c:w val="0.26952281144781143"/>
          <c:h val="8.8600694444444447E-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Pareto de productos: facturación y % acumulado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'Dashboard_Alternativo CLaude'!$E$71</c:f>
              <c:strCache>
                <c:ptCount val="1"/>
                <c:pt idx="0">
                  <c:v>Facturación</c:v>
                </c:pt>
              </c:strCache>
            </c:strRef>
          </c:tx>
          <c:spPr>
            <a:solidFill>
              <a:srgbClr val="7FB3BC"/>
            </a:solidFill>
            <a:ln>
              <a:noFill/>
              <a:prstDash val="solid"/>
            </a:ln>
          </c:spPr>
          <c:invertIfNegative val="1"/>
          <c:cat>
            <c:strRef>
              <c:f>'Dashboard_Alternativo CLaude'!$B$72:$B$86</c:f>
              <c:strCache>
                <c:ptCount val="15"/>
                <c:pt idx="0">
                  <c:v>Teclado Mecánico RGB</c:v>
                </c:pt>
                <c:pt idx="1">
                  <c:v>Termo Acero Inoxidable 1.3L</c:v>
                </c:pt>
                <c:pt idx="2">
                  <c:v>Auriculares Bluetooth Pro</c:v>
                </c:pt>
                <c:pt idx="3">
                  <c:v>Café en Grano Intenso 1kg</c:v>
                </c:pt>
                <c:pt idx="4">
                  <c:v>Alimento Gato Castrado 10kg</c:v>
                </c:pt>
                <c:pt idx="5">
                  <c:v>Alimento Perro Adulto 15kg</c:v>
                </c:pt>
                <c:pt idx="6">
                  <c:v>Soporte Regulable Notebook</c:v>
                </c:pt>
                <c:pt idx="7">
                  <c:v>Mouse Inalámbrico Ergonómico</c:v>
                </c:pt>
                <c:pt idx="8">
                  <c:v>Cargador Rápido USB-C 65W</c:v>
                </c:pt>
                <c:pt idx="9">
                  <c:v>Correa Reforzada Canina 3m</c:v>
                </c:pt>
                <c:pt idx="10">
                  <c:v>Yerba Mate Premium 1kg</c:v>
                </c:pt>
                <c:pt idx="11">
                  <c:v>Mates de Madera Calada</c:v>
                </c:pt>
                <c:pt idx="12">
                  <c:v>Shampoo Canino Neutro 500ml</c:v>
                </c:pt>
                <c:pt idx="13">
                  <c:v>Juguete Mordillo Goma</c:v>
                </c:pt>
                <c:pt idx="14">
                  <c:v>Snack Premios Perro 250g</c:v>
                </c:pt>
              </c:strCache>
            </c:strRef>
          </c:cat>
          <c:val>
            <c:numRef>
              <c:f>'Dashboard_Alternativo CLaude'!$E$72:$E$86</c:f>
              <c:numCache>
                <c:formatCode>#,##0</c:formatCode>
                <c:ptCount val="15"/>
                <c:pt idx="0">
                  <c:v>6390000</c:v>
                </c:pt>
                <c:pt idx="1">
                  <c:v>5408000</c:v>
                </c:pt>
                <c:pt idx="2">
                  <c:v>5376000</c:v>
                </c:pt>
                <c:pt idx="3">
                  <c:v>3589000</c:v>
                </c:pt>
                <c:pt idx="4">
                  <c:v>3569500</c:v>
                </c:pt>
                <c:pt idx="5">
                  <c:v>2975000</c:v>
                </c:pt>
                <c:pt idx="6">
                  <c:v>2847000</c:v>
                </c:pt>
                <c:pt idx="7">
                  <c:v>2730000</c:v>
                </c:pt>
                <c:pt idx="8">
                  <c:v>2420000</c:v>
                </c:pt>
                <c:pt idx="9">
                  <c:v>1269600</c:v>
                </c:pt>
                <c:pt idx="10">
                  <c:v>1018400</c:v>
                </c:pt>
                <c:pt idx="11">
                  <c:v>909500</c:v>
                </c:pt>
                <c:pt idx="12">
                  <c:v>892800</c:v>
                </c:pt>
                <c:pt idx="13">
                  <c:v>691200</c:v>
                </c:pt>
                <c:pt idx="14">
                  <c:v>452600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90F-4FBD-A6B6-E17AE1DA60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0"/>
        <c:axId val="100"/>
      </c:barChart>
      <c:lineChart>
        <c:grouping val="standard"/>
        <c:varyColors val="1"/>
        <c:ser>
          <c:idx val="1"/>
          <c:order val="1"/>
          <c:tx>
            <c:strRef>
              <c:f>'Dashboard_Alternativo CLaude'!$G$71</c:f>
              <c:strCache>
                <c:ptCount val="1"/>
                <c:pt idx="0">
                  <c:v>% acumulado</c:v>
                </c:pt>
              </c:strCache>
            </c:strRef>
          </c:tx>
          <c:spPr>
            <a:ln w="22225">
              <a:solidFill>
                <a:srgbClr val="1F3A5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1F3A5F"/>
              </a:solidFill>
              <a:ln>
                <a:prstDash val="solid"/>
              </a:ln>
            </c:spPr>
          </c:marker>
          <c:val>
            <c:numRef>
              <c:f>'Dashboard_Alternativo CLaude'!$G$72:$G$86</c:f>
              <c:numCache>
                <c:formatCode>0.0%</c:formatCode>
                <c:ptCount val="15"/>
                <c:pt idx="0">
                  <c:v>0.15762754510515903</c:v>
                </c:pt>
                <c:pt idx="1">
                  <c:v>0.29103126402983825</c:v>
                </c:pt>
                <c:pt idx="2">
                  <c:v>0.42364561183661997</c:v>
                </c:pt>
                <c:pt idx="3">
                  <c:v>0.51217851627831257</c:v>
                </c:pt>
                <c:pt idx="4">
                  <c:v>0.60023039769503639</c:v>
                </c:pt>
                <c:pt idx="5">
                  <c:v>0.67361724381207055</c:v>
                </c:pt>
                <c:pt idx="6">
                  <c:v>0.74384660545751469</c:v>
                </c:pt>
                <c:pt idx="7">
                  <c:v>0.81118982895314606</c:v>
                </c:pt>
                <c:pt idx="8">
                  <c:v>0.87088601974414526</c:v>
                </c:pt>
                <c:pt idx="9">
                  <c:v>0.90220431884672903</c:v>
                </c:pt>
                <c:pt idx="10">
                  <c:v>0.92732605467381723</c:v>
                </c:pt>
                <c:pt idx="11">
                  <c:v>0.94976146191531052</c:v>
                </c:pt>
                <c:pt idx="12">
                  <c:v>0.97178491610465101</c:v>
                </c:pt>
                <c:pt idx="13">
                  <c:v>0.98883533225123721</c:v>
                </c:pt>
                <c:pt idx="14">
                  <c:v>1.0000000000000002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90F-4FBD-A6B6-E17AE1DA60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  <c:valAx>
        <c:axId val="200"/>
        <c:scaling>
          <c:orientation val="minMax"/>
          <c:max val="1"/>
          <c:min val="0"/>
        </c:scaling>
        <c:delete val="0"/>
        <c:axPos val="r"/>
        <c:numFmt formatCode="0%" sourceLinked="0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161925</xdr:colOff>
      <xdr:row>10</xdr:row>
      <xdr:rowOff>47625</xdr:rowOff>
    </xdr:from>
    <xdr:to>
      <xdr:col>2</xdr:col>
      <xdr:colOff>95250</xdr:colOff>
      <xdr:row>12</xdr:row>
      <xdr:rowOff>171450</xdr:rowOff>
    </xdr:to>
    <xdr:sp macro="" textlink="$C$3">
      <xdr:nvSpPr>
        <xdr:cNvPr id="2" name="Rectángulo 1">
          <a:extLst>
            <a:ext uri="{FF2B5EF4-FFF2-40B4-BE49-F238E27FC236}">
              <a16:creationId xmlns:a16="http://schemas.microsoft.com/office/drawing/2014/main" id="{7DA4023F-FD7B-2CB6-5940-205612FE37CF}"/>
            </a:ext>
          </a:extLst>
        </xdr:cNvPr>
        <xdr:cNvSpPr/>
      </xdr:nvSpPr>
      <xdr:spPr>
        <a:xfrm>
          <a:off x="923925" y="2809875"/>
          <a:ext cx="3048000" cy="676275"/>
        </a:xfrm>
        <a:prstGeom prst="rect">
          <a:avLst/>
        </a:prstGeom>
        <a:solidFill>
          <a:schemeClr val="bg1"/>
        </a:solidFill>
        <a:ln w="28575" cap="sq" cmpd="sng">
          <a:solidFill>
            <a:schemeClr val="accent1">
              <a:shade val="15000"/>
            </a:schemeClr>
          </a:solidFill>
          <a:miter lim="800000"/>
          <a:extLst>
            <a:ext uri="{C807C97D-BFC1-408E-A445-0C87EB9F89A2}">
              <ask:lineSketchStyleProps xmlns:ask="http://schemas.microsoft.com/office/drawing/2018/sketchyshapes" sd="1219033472">
                <a:custGeom>
                  <a:avLst/>
                  <a:gdLst>
                    <a:gd name="csX0" fmla="*/ 0 w 3048000"/>
                    <a:gd name="csY0" fmla="*/ 0 h 885825"/>
                    <a:gd name="csX1" fmla="*/ 670560 w 3048000"/>
                    <a:gd name="csY1" fmla="*/ 0 h 885825"/>
                    <a:gd name="csX2" fmla="*/ 1310640 w 3048000"/>
                    <a:gd name="csY2" fmla="*/ 0 h 885825"/>
                    <a:gd name="csX3" fmla="*/ 1950720 w 3048000"/>
                    <a:gd name="csY3" fmla="*/ 0 h 885825"/>
                    <a:gd name="csX4" fmla="*/ 2468880 w 3048000"/>
                    <a:gd name="csY4" fmla="*/ 0 h 885825"/>
                    <a:gd name="csX5" fmla="*/ 3048000 w 3048000"/>
                    <a:gd name="csY5" fmla="*/ 0 h 885825"/>
                    <a:gd name="csX6" fmla="*/ 3048000 w 3048000"/>
                    <a:gd name="csY6" fmla="*/ 451771 h 885825"/>
                    <a:gd name="csX7" fmla="*/ 3048000 w 3048000"/>
                    <a:gd name="csY7" fmla="*/ 885825 h 885825"/>
                    <a:gd name="csX8" fmla="*/ 2438400 w 3048000"/>
                    <a:gd name="csY8" fmla="*/ 885825 h 885825"/>
                    <a:gd name="csX9" fmla="*/ 1920240 w 3048000"/>
                    <a:gd name="csY9" fmla="*/ 885825 h 885825"/>
                    <a:gd name="csX10" fmla="*/ 1402080 w 3048000"/>
                    <a:gd name="csY10" fmla="*/ 885825 h 885825"/>
                    <a:gd name="csX11" fmla="*/ 762000 w 3048000"/>
                    <a:gd name="csY11" fmla="*/ 885825 h 885825"/>
                    <a:gd name="csX12" fmla="*/ 0 w 3048000"/>
                    <a:gd name="csY12" fmla="*/ 885825 h 885825"/>
                    <a:gd name="csX13" fmla="*/ 0 w 3048000"/>
                    <a:gd name="csY13" fmla="*/ 425196 h 885825"/>
                    <a:gd name="csX14" fmla="*/ 0 w 3048000"/>
                    <a:gd name="csY14" fmla="*/ 0 h 885825"/>
                  </a:gdLst>
                  <a:ahLst/>
                  <a:cxnLst>
                    <a:cxn ang="0">
                      <a:pos x="csX0" y="csY0"/>
                    </a:cxn>
                    <a:cxn ang="0">
                      <a:pos x="csX1" y="csY1"/>
                    </a:cxn>
                    <a:cxn ang="0">
                      <a:pos x="csX2" y="csY2"/>
                    </a:cxn>
                    <a:cxn ang="0">
                      <a:pos x="csX3" y="csY3"/>
                    </a:cxn>
                    <a:cxn ang="0">
                      <a:pos x="csX4" y="csY4"/>
                    </a:cxn>
                    <a:cxn ang="0">
                      <a:pos x="csX5" y="csY5"/>
                    </a:cxn>
                    <a:cxn ang="0">
                      <a:pos x="csX6" y="csY6"/>
                    </a:cxn>
                    <a:cxn ang="0">
                      <a:pos x="csX7" y="csY7"/>
                    </a:cxn>
                    <a:cxn ang="0">
                      <a:pos x="csX8" y="csY8"/>
                    </a:cxn>
                    <a:cxn ang="0">
                      <a:pos x="csX9" y="csY9"/>
                    </a:cxn>
                    <a:cxn ang="0">
                      <a:pos x="csX10" y="csY10"/>
                    </a:cxn>
                    <a:cxn ang="0">
                      <a:pos x="csX11" y="csY11"/>
                    </a:cxn>
                    <a:cxn ang="0">
                      <a:pos x="csX12" y="csY12"/>
                    </a:cxn>
                    <a:cxn ang="0">
                      <a:pos x="csX13" y="csY13"/>
                    </a:cxn>
                    <a:cxn ang="0">
                      <a:pos x="csX14" y="csY14"/>
                    </a:cxn>
                  </a:cxnLst>
                  <a:rect l="l" t="t" r="r" b="b"/>
                  <a:pathLst>
                    <a:path w="3048000" h="885825" fill="none" extrusionOk="0">
                      <a:moveTo>
                        <a:pt x="0" y="0"/>
                      </a:moveTo>
                      <a:cubicBezTo>
                        <a:pt x="298738" y="-11480"/>
                        <a:pt x="355905" y="27281"/>
                        <a:pt x="670560" y="0"/>
                      </a:cubicBezTo>
                      <a:cubicBezTo>
                        <a:pt x="985215" y="-27281"/>
                        <a:pt x="1116970" y="26673"/>
                        <a:pt x="1310640" y="0"/>
                      </a:cubicBezTo>
                      <a:cubicBezTo>
                        <a:pt x="1504310" y="-26673"/>
                        <a:pt x="1684125" y="2328"/>
                        <a:pt x="1950720" y="0"/>
                      </a:cubicBezTo>
                      <a:cubicBezTo>
                        <a:pt x="2217315" y="-2328"/>
                        <a:pt x="2347775" y="-11483"/>
                        <a:pt x="2468880" y="0"/>
                      </a:cubicBezTo>
                      <a:cubicBezTo>
                        <a:pt x="2589985" y="11483"/>
                        <a:pt x="2827001" y="27737"/>
                        <a:pt x="3048000" y="0"/>
                      </a:cubicBezTo>
                      <a:cubicBezTo>
                        <a:pt x="3054868" y="212660"/>
                        <a:pt x="3037391" y="249620"/>
                        <a:pt x="3048000" y="451771"/>
                      </a:cubicBezTo>
                      <a:cubicBezTo>
                        <a:pt x="3058609" y="653922"/>
                        <a:pt x="3065272" y="788339"/>
                        <a:pt x="3048000" y="885825"/>
                      </a:cubicBezTo>
                      <a:cubicBezTo>
                        <a:pt x="2813233" y="886231"/>
                        <a:pt x="2656383" y="859758"/>
                        <a:pt x="2438400" y="885825"/>
                      </a:cubicBezTo>
                      <a:cubicBezTo>
                        <a:pt x="2220417" y="911892"/>
                        <a:pt x="2174661" y="890748"/>
                        <a:pt x="1920240" y="885825"/>
                      </a:cubicBezTo>
                      <a:cubicBezTo>
                        <a:pt x="1665819" y="880902"/>
                        <a:pt x="1555077" y="898342"/>
                        <a:pt x="1402080" y="885825"/>
                      </a:cubicBezTo>
                      <a:cubicBezTo>
                        <a:pt x="1249083" y="873308"/>
                        <a:pt x="949903" y="904169"/>
                        <a:pt x="762000" y="885825"/>
                      </a:cubicBezTo>
                      <a:cubicBezTo>
                        <a:pt x="574097" y="867481"/>
                        <a:pt x="353726" y="890841"/>
                        <a:pt x="0" y="885825"/>
                      </a:cubicBezTo>
                      <a:cubicBezTo>
                        <a:pt x="-16893" y="762569"/>
                        <a:pt x="21853" y="539252"/>
                        <a:pt x="0" y="425196"/>
                      </a:cubicBezTo>
                      <a:cubicBezTo>
                        <a:pt x="-21853" y="311140"/>
                        <a:pt x="-20536" y="147920"/>
                        <a:pt x="0" y="0"/>
                      </a:cubicBezTo>
                      <a:close/>
                    </a:path>
                    <a:path w="3048000" h="885825" stroke="0" extrusionOk="0">
                      <a:moveTo>
                        <a:pt x="0" y="0"/>
                      </a:moveTo>
                      <a:cubicBezTo>
                        <a:pt x="259072" y="-601"/>
                        <a:pt x="449154" y="-3049"/>
                        <a:pt x="579120" y="0"/>
                      </a:cubicBezTo>
                      <a:cubicBezTo>
                        <a:pt x="709086" y="3049"/>
                        <a:pt x="851384" y="-9403"/>
                        <a:pt x="1097280" y="0"/>
                      </a:cubicBezTo>
                      <a:cubicBezTo>
                        <a:pt x="1343176" y="9403"/>
                        <a:pt x="1453039" y="15725"/>
                        <a:pt x="1767840" y="0"/>
                      </a:cubicBezTo>
                      <a:cubicBezTo>
                        <a:pt x="2082641" y="-15725"/>
                        <a:pt x="2151570" y="5049"/>
                        <a:pt x="2346960" y="0"/>
                      </a:cubicBezTo>
                      <a:cubicBezTo>
                        <a:pt x="2542350" y="-5049"/>
                        <a:pt x="2795072" y="-29675"/>
                        <a:pt x="3048000" y="0"/>
                      </a:cubicBezTo>
                      <a:cubicBezTo>
                        <a:pt x="3043450" y="183381"/>
                        <a:pt x="3044783" y="290969"/>
                        <a:pt x="3048000" y="460629"/>
                      </a:cubicBezTo>
                      <a:cubicBezTo>
                        <a:pt x="3051217" y="630289"/>
                        <a:pt x="3050227" y="721177"/>
                        <a:pt x="3048000" y="885825"/>
                      </a:cubicBezTo>
                      <a:cubicBezTo>
                        <a:pt x="2826515" y="887560"/>
                        <a:pt x="2572368" y="911766"/>
                        <a:pt x="2438400" y="885825"/>
                      </a:cubicBezTo>
                      <a:cubicBezTo>
                        <a:pt x="2304432" y="859884"/>
                        <a:pt x="2149384" y="903778"/>
                        <a:pt x="1920240" y="885825"/>
                      </a:cubicBezTo>
                      <a:cubicBezTo>
                        <a:pt x="1691096" y="867872"/>
                        <a:pt x="1589686" y="857827"/>
                        <a:pt x="1310640" y="885825"/>
                      </a:cubicBezTo>
                      <a:cubicBezTo>
                        <a:pt x="1031594" y="913823"/>
                        <a:pt x="964128" y="868351"/>
                        <a:pt x="701040" y="885825"/>
                      </a:cubicBezTo>
                      <a:cubicBezTo>
                        <a:pt x="437952" y="903299"/>
                        <a:pt x="253828" y="877667"/>
                        <a:pt x="0" y="885825"/>
                      </a:cubicBezTo>
                      <a:cubicBezTo>
                        <a:pt x="14965" y="733190"/>
                        <a:pt x="-5433" y="573032"/>
                        <a:pt x="0" y="425196"/>
                      </a:cubicBezTo>
                      <a:cubicBezTo>
                        <a:pt x="5433" y="277360"/>
                        <a:pt x="13819" y="207019"/>
                        <a:pt x="0" y="0"/>
                      </a:cubicBezTo>
                      <a:close/>
                    </a:path>
                  </a:pathLst>
                </a:custGeom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fld id="{D424C0F7-5A2C-4A0F-85A8-0FCD84A380E8}" type="TxLink">
            <a:rPr lang="en-US" sz="2800" b="1" i="0" u="none" strike="noStrike">
              <a:ln>
                <a:noFill/>
              </a:ln>
              <a:solidFill>
                <a:schemeClr val="accent2"/>
              </a:solidFill>
              <a:latin typeface="Montserrat"/>
              <a:ea typeface="+mn-ea"/>
              <a:cs typeface="+mn-cs"/>
            </a:rPr>
            <a:pPr marL="0" indent="0" algn="ctr"/>
            <a:t>$ 40.538.600,0</a:t>
          </a:fld>
          <a:endParaRPr lang="es-ES" sz="2800" b="1" i="0" u="none" strike="noStrike">
            <a:ln>
              <a:noFill/>
            </a:ln>
            <a:solidFill>
              <a:schemeClr val="accent2"/>
            </a:solidFill>
            <a:latin typeface="Montserra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1333500</xdr:colOff>
      <xdr:row>10</xdr:row>
      <xdr:rowOff>28575</xdr:rowOff>
    </xdr:from>
    <xdr:to>
      <xdr:col>6</xdr:col>
      <xdr:colOff>523875</xdr:colOff>
      <xdr:row>12</xdr:row>
      <xdr:rowOff>180975</xdr:rowOff>
    </xdr:to>
    <xdr:sp macro="" textlink="$C$4">
      <xdr:nvSpPr>
        <xdr:cNvPr id="5" name="Rectángulo 4">
          <a:extLst>
            <a:ext uri="{FF2B5EF4-FFF2-40B4-BE49-F238E27FC236}">
              <a16:creationId xmlns:a16="http://schemas.microsoft.com/office/drawing/2014/main" id="{B6CD04F6-7F6A-4794-8E55-20E9752B32A6}"/>
            </a:ext>
          </a:extLst>
        </xdr:cNvPr>
        <xdr:cNvSpPr/>
      </xdr:nvSpPr>
      <xdr:spPr>
        <a:xfrm>
          <a:off x="5210175" y="2790825"/>
          <a:ext cx="3048000" cy="704850"/>
        </a:xfrm>
        <a:prstGeom prst="rect">
          <a:avLst/>
        </a:prstGeom>
        <a:solidFill>
          <a:schemeClr val="bg1"/>
        </a:solidFill>
        <a:ln w="28575" cap="sq" cmpd="sng">
          <a:solidFill>
            <a:schemeClr val="accent1">
              <a:shade val="15000"/>
            </a:schemeClr>
          </a:solidFill>
          <a:miter lim="800000"/>
          <a:extLst>
            <a:ext uri="{C807C97D-BFC1-408E-A445-0C87EB9F89A2}">
              <ask:lineSketchStyleProps xmlns:ask="http://schemas.microsoft.com/office/drawing/2018/sketchyshapes" sd="1219033472">
                <a:custGeom>
                  <a:avLst/>
                  <a:gdLst>
                    <a:gd name="csX0" fmla="*/ 0 w 3048000"/>
                    <a:gd name="csY0" fmla="*/ 0 h 885825"/>
                    <a:gd name="csX1" fmla="*/ 670560 w 3048000"/>
                    <a:gd name="csY1" fmla="*/ 0 h 885825"/>
                    <a:gd name="csX2" fmla="*/ 1310640 w 3048000"/>
                    <a:gd name="csY2" fmla="*/ 0 h 885825"/>
                    <a:gd name="csX3" fmla="*/ 1950720 w 3048000"/>
                    <a:gd name="csY3" fmla="*/ 0 h 885825"/>
                    <a:gd name="csX4" fmla="*/ 2468880 w 3048000"/>
                    <a:gd name="csY4" fmla="*/ 0 h 885825"/>
                    <a:gd name="csX5" fmla="*/ 3048000 w 3048000"/>
                    <a:gd name="csY5" fmla="*/ 0 h 885825"/>
                    <a:gd name="csX6" fmla="*/ 3048000 w 3048000"/>
                    <a:gd name="csY6" fmla="*/ 451771 h 885825"/>
                    <a:gd name="csX7" fmla="*/ 3048000 w 3048000"/>
                    <a:gd name="csY7" fmla="*/ 885825 h 885825"/>
                    <a:gd name="csX8" fmla="*/ 2438400 w 3048000"/>
                    <a:gd name="csY8" fmla="*/ 885825 h 885825"/>
                    <a:gd name="csX9" fmla="*/ 1920240 w 3048000"/>
                    <a:gd name="csY9" fmla="*/ 885825 h 885825"/>
                    <a:gd name="csX10" fmla="*/ 1402080 w 3048000"/>
                    <a:gd name="csY10" fmla="*/ 885825 h 885825"/>
                    <a:gd name="csX11" fmla="*/ 762000 w 3048000"/>
                    <a:gd name="csY11" fmla="*/ 885825 h 885825"/>
                    <a:gd name="csX12" fmla="*/ 0 w 3048000"/>
                    <a:gd name="csY12" fmla="*/ 885825 h 885825"/>
                    <a:gd name="csX13" fmla="*/ 0 w 3048000"/>
                    <a:gd name="csY13" fmla="*/ 425196 h 885825"/>
                    <a:gd name="csX14" fmla="*/ 0 w 3048000"/>
                    <a:gd name="csY14" fmla="*/ 0 h 885825"/>
                  </a:gdLst>
                  <a:ahLst/>
                  <a:cxnLst>
                    <a:cxn ang="0">
                      <a:pos x="csX0" y="csY0"/>
                    </a:cxn>
                    <a:cxn ang="0">
                      <a:pos x="csX1" y="csY1"/>
                    </a:cxn>
                    <a:cxn ang="0">
                      <a:pos x="csX2" y="csY2"/>
                    </a:cxn>
                    <a:cxn ang="0">
                      <a:pos x="csX3" y="csY3"/>
                    </a:cxn>
                    <a:cxn ang="0">
                      <a:pos x="csX4" y="csY4"/>
                    </a:cxn>
                    <a:cxn ang="0">
                      <a:pos x="csX5" y="csY5"/>
                    </a:cxn>
                    <a:cxn ang="0">
                      <a:pos x="csX6" y="csY6"/>
                    </a:cxn>
                    <a:cxn ang="0">
                      <a:pos x="csX7" y="csY7"/>
                    </a:cxn>
                    <a:cxn ang="0">
                      <a:pos x="csX8" y="csY8"/>
                    </a:cxn>
                    <a:cxn ang="0">
                      <a:pos x="csX9" y="csY9"/>
                    </a:cxn>
                    <a:cxn ang="0">
                      <a:pos x="csX10" y="csY10"/>
                    </a:cxn>
                    <a:cxn ang="0">
                      <a:pos x="csX11" y="csY11"/>
                    </a:cxn>
                    <a:cxn ang="0">
                      <a:pos x="csX12" y="csY12"/>
                    </a:cxn>
                    <a:cxn ang="0">
                      <a:pos x="csX13" y="csY13"/>
                    </a:cxn>
                    <a:cxn ang="0">
                      <a:pos x="csX14" y="csY14"/>
                    </a:cxn>
                  </a:cxnLst>
                  <a:rect l="l" t="t" r="r" b="b"/>
                  <a:pathLst>
                    <a:path w="3048000" h="885825" fill="none" extrusionOk="0">
                      <a:moveTo>
                        <a:pt x="0" y="0"/>
                      </a:moveTo>
                      <a:cubicBezTo>
                        <a:pt x="298738" y="-11480"/>
                        <a:pt x="355905" y="27281"/>
                        <a:pt x="670560" y="0"/>
                      </a:cubicBezTo>
                      <a:cubicBezTo>
                        <a:pt x="985215" y="-27281"/>
                        <a:pt x="1116970" y="26673"/>
                        <a:pt x="1310640" y="0"/>
                      </a:cubicBezTo>
                      <a:cubicBezTo>
                        <a:pt x="1504310" y="-26673"/>
                        <a:pt x="1684125" y="2328"/>
                        <a:pt x="1950720" y="0"/>
                      </a:cubicBezTo>
                      <a:cubicBezTo>
                        <a:pt x="2217315" y="-2328"/>
                        <a:pt x="2347775" y="-11483"/>
                        <a:pt x="2468880" y="0"/>
                      </a:cubicBezTo>
                      <a:cubicBezTo>
                        <a:pt x="2589985" y="11483"/>
                        <a:pt x="2827001" y="27737"/>
                        <a:pt x="3048000" y="0"/>
                      </a:cubicBezTo>
                      <a:cubicBezTo>
                        <a:pt x="3054868" y="212660"/>
                        <a:pt x="3037391" y="249620"/>
                        <a:pt x="3048000" y="451771"/>
                      </a:cubicBezTo>
                      <a:cubicBezTo>
                        <a:pt x="3058609" y="653922"/>
                        <a:pt x="3065272" y="788339"/>
                        <a:pt x="3048000" y="885825"/>
                      </a:cubicBezTo>
                      <a:cubicBezTo>
                        <a:pt x="2813233" y="886231"/>
                        <a:pt x="2656383" y="859758"/>
                        <a:pt x="2438400" y="885825"/>
                      </a:cubicBezTo>
                      <a:cubicBezTo>
                        <a:pt x="2220417" y="911892"/>
                        <a:pt x="2174661" y="890748"/>
                        <a:pt x="1920240" y="885825"/>
                      </a:cubicBezTo>
                      <a:cubicBezTo>
                        <a:pt x="1665819" y="880902"/>
                        <a:pt x="1555077" y="898342"/>
                        <a:pt x="1402080" y="885825"/>
                      </a:cubicBezTo>
                      <a:cubicBezTo>
                        <a:pt x="1249083" y="873308"/>
                        <a:pt x="949903" y="904169"/>
                        <a:pt x="762000" y="885825"/>
                      </a:cubicBezTo>
                      <a:cubicBezTo>
                        <a:pt x="574097" y="867481"/>
                        <a:pt x="353726" y="890841"/>
                        <a:pt x="0" y="885825"/>
                      </a:cubicBezTo>
                      <a:cubicBezTo>
                        <a:pt x="-16893" y="762569"/>
                        <a:pt x="21853" y="539252"/>
                        <a:pt x="0" y="425196"/>
                      </a:cubicBezTo>
                      <a:cubicBezTo>
                        <a:pt x="-21853" y="311140"/>
                        <a:pt x="-20536" y="147920"/>
                        <a:pt x="0" y="0"/>
                      </a:cubicBezTo>
                      <a:close/>
                    </a:path>
                    <a:path w="3048000" h="885825" stroke="0" extrusionOk="0">
                      <a:moveTo>
                        <a:pt x="0" y="0"/>
                      </a:moveTo>
                      <a:cubicBezTo>
                        <a:pt x="259072" y="-601"/>
                        <a:pt x="449154" y="-3049"/>
                        <a:pt x="579120" y="0"/>
                      </a:cubicBezTo>
                      <a:cubicBezTo>
                        <a:pt x="709086" y="3049"/>
                        <a:pt x="851384" y="-9403"/>
                        <a:pt x="1097280" y="0"/>
                      </a:cubicBezTo>
                      <a:cubicBezTo>
                        <a:pt x="1343176" y="9403"/>
                        <a:pt x="1453039" y="15725"/>
                        <a:pt x="1767840" y="0"/>
                      </a:cubicBezTo>
                      <a:cubicBezTo>
                        <a:pt x="2082641" y="-15725"/>
                        <a:pt x="2151570" y="5049"/>
                        <a:pt x="2346960" y="0"/>
                      </a:cubicBezTo>
                      <a:cubicBezTo>
                        <a:pt x="2542350" y="-5049"/>
                        <a:pt x="2795072" y="-29675"/>
                        <a:pt x="3048000" y="0"/>
                      </a:cubicBezTo>
                      <a:cubicBezTo>
                        <a:pt x="3043450" y="183381"/>
                        <a:pt x="3044783" y="290969"/>
                        <a:pt x="3048000" y="460629"/>
                      </a:cubicBezTo>
                      <a:cubicBezTo>
                        <a:pt x="3051217" y="630289"/>
                        <a:pt x="3050227" y="721177"/>
                        <a:pt x="3048000" y="885825"/>
                      </a:cubicBezTo>
                      <a:cubicBezTo>
                        <a:pt x="2826515" y="887560"/>
                        <a:pt x="2572368" y="911766"/>
                        <a:pt x="2438400" y="885825"/>
                      </a:cubicBezTo>
                      <a:cubicBezTo>
                        <a:pt x="2304432" y="859884"/>
                        <a:pt x="2149384" y="903778"/>
                        <a:pt x="1920240" y="885825"/>
                      </a:cubicBezTo>
                      <a:cubicBezTo>
                        <a:pt x="1691096" y="867872"/>
                        <a:pt x="1589686" y="857827"/>
                        <a:pt x="1310640" y="885825"/>
                      </a:cubicBezTo>
                      <a:cubicBezTo>
                        <a:pt x="1031594" y="913823"/>
                        <a:pt x="964128" y="868351"/>
                        <a:pt x="701040" y="885825"/>
                      </a:cubicBezTo>
                      <a:cubicBezTo>
                        <a:pt x="437952" y="903299"/>
                        <a:pt x="253828" y="877667"/>
                        <a:pt x="0" y="885825"/>
                      </a:cubicBezTo>
                      <a:cubicBezTo>
                        <a:pt x="14965" y="733190"/>
                        <a:pt x="-5433" y="573032"/>
                        <a:pt x="0" y="425196"/>
                      </a:cubicBezTo>
                      <a:cubicBezTo>
                        <a:pt x="5433" y="277360"/>
                        <a:pt x="13819" y="207019"/>
                        <a:pt x="0" y="0"/>
                      </a:cubicBezTo>
                      <a:close/>
                    </a:path>
                  </a:pathLst>
                </a:custGeom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fld id="{0F74D957-0B12-4D9C-AD77-792492D7B9A6}" type="TxLink">
            <a:rPr lang="en-US" sz="2800" b="1" i="0" u="none" strike="noStrike">
              <a:ln>
                <a:noFill/>
              </a:ln>
              <a:solidFill>
                <a:schemeClr val="accent2"/>
              </a:solidFill>
              <a:latin typeface="Montserrat"/>
              <a:ea typeface="+mn-ea"/>
              <a:cs typeface="+mn-cs"/>
            </a:rPr>
            <a:pPr marL="0" indent="0" algn="ctr"/>
            <a:t>$ 14.226.200,0</a:t>
          </a:fld>
          <a:endParaRPr lang="es-ES" sz="2800" b="1" i="0" u="none" strike="noStrike">
            <a:ln>
              <a:noFill/>
            </a:ln>
            <a:solidFill>
              <a:schemeClr val="accent2"/>
            </a:solidFill>
            <a:latin typeface="Montserra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133350</xdr:colOff>
      <xdr:row>9</xdr:row>
      <xdr:rowOff>180976</xdr:rowOff>
    </xdr:from>
    <xdr:to>
      <xdr:col>12</xdr:col>
      <xdr:colOff>133350</xdr:colOff>
      <xdr:row>12</xdr:row>
      <xdr:rowOff>209551</xdr:rowOff>
    </xdr:to>
    <xdr:sp macro="" textlink="$C$5">
      <xdr:nvSpPr>
        <xdr:cNvPr id="6" name="Rectángulo 5">
          <a:extLst>
            <a:ext uri="{FF2B5EF4-FFF2-40B4-BE49-F238E27FC236}">
              <a16:creationId xmlns:a16="http://schemas.microsoft.com/office/drawing/2014/main" id="{2D8DF5DB-E330-4554-8B55-BAAEA74E4B35}"/>
            </a:ext>
          </a:extLst>
        </xdr:cNvPr>
        <xdr:cNvSpPr/>
      </xdr:nvSpPr>
      <xdr:spPr>
        <a:xfrm>
          <a:off x="9391650" y="2667001"/>
          <a:ext cx="3048000" cy="857250"/>
        </a:xfrm>
        <a:prstGeom prst="rect">
          <a:avLst/>
        </a:prstGeom>
        <a:solidFill>
          <a:schemeClr val="bg1"/>
        </a:solidFill>
        <a:ln w="28575" cap="sq" cmpd="sng">
          <a:solidFill>
            <a:schemeClr val="accent1">
              <a:shade val="15000"/>
            </a:schemeClr>
          </a:solidFill>
          <a:miter lim="800000"/>
          <a:extLst>
            <a:ext uri="{C807C97D-BFC1-408E-A445-0C87EB9F89A2}">
              <ask:lineSketchStyleProps xmlns:ask="http://schemas.microsoft.com/office/drawing/2018/sketchyshapes" sd="1219033472">
                <a:custGeom>
                  <a:avLst/>
                  <a:gdLst>
                    <a:gd name="csX0" fmla="*/ 0 w 3048000"/>
                    <a:gd name="csY0" fmla="*/ 0 h 885825"/>
                    <a:gd name="csX1" fmla="*/ 670560 w 3048000"/>
                    <a:gd name="csY1" fmla="*/ 0 h 885825"/>
                    <a:gd name="csX2" fmla="*/ 1310640 w 3048000"/>
                    <a:gd name="csY2" fmla="*/ 0 h 885825"/>
                    <a:gd name="csX3" fmla="*/ 1950720 w 3048000"/>
                    <a:gd name="csY3" fmla="*/ 0 h 885825"/>
                    <a:gd name="csX4" fmla="*/ 2468880 w 3048000"/>
                    <a:gd name="csY4" fmla="*/ 0 h 885825"/>
                    <a:gd name="csX5" fmla="*/ 3048000 w 3048000"/>
                    <a:gd name="csY5" fmla="*/ 0 h 885825"/>
                    <a:gd name="csX6" fmla="*/ 3048000 w 3048000"/>
                    <a:gd name="csY6" fmla="*/ 451771 h 885825"/>
                    <a:gd name="csX7" fmla="*/ 3048000 w 3048000"/>
                    <a:gd name="csY7" fmla="*/ 885825 h 885825"/>
                    <a:gd name="csX8" fmla="*/ 2438400 w 3048000"/>
                    <a:gd name="csY8" fmla="*/ 885825 h 885825"/>
                    <a:gd name="csX9" fmla="*/ 1920240 w 3048000"/>
                    <a:gd name="csY9" fmla="*/ 885825 h 885825"/>
                    <a:gd name="csX10" fmla="*/ 1402080 w 3048000"/>
                    <a:gd name="csY10" fmla="*/ 885825 h 885825"/>
                    <a:gd name="csX11" fmla="*/ 762000 w 3048000"/>
                    <a:gd name="csY11" fmla="*/ 885825 h 885825"/>
                    <a:gd name="csX12" fmla="*/ 0 w 3048000"/>
                    <a:gd name="csY12" fmla="*/ 885825 h 885825"/>
                    <a:gd name="csX13" fmla="*/ 0 w 3048000"/>
                    <a:gd name="csY13" fmla="*/ 425196 h 885825"/>
                    <a:gd name="csX14" fmla="*/ 0 w 3048000"/>
                    <a:gd name="csY14" fmla="*/ 0 h 885825"/>
                  </a:gdLst>
                  <a:ahLst/>
                  <a:cxnLst>
                    <a:cxn ang="0">
                      <a:pos x="csX0" y="csY0"/>
                    </a:cxn>
                    <a:cxn ang="0">
                      <a:pos x="csX1" y="csY1"/>
                    </a:cxn>
                    <a:cxn ang="0">
                      <a:pos x="csX2" y="csY2"/>
                    </a:cxn>
                    <a:cxn ang="0">
                      <a:pos x="csX3" y="csY3"/>
                    </a:cxn>
                    <a:cxn ang="0">
                      <a:pos x="csX4" y="csY4"/>
                    </a:cxn>
                    <a:cxn ang="0">
                      <a:pos x="csX5" y="csY5"/>
                    </a:cxn>
                    <a:cxn ang="0">
                      <a:pos x="csX6" y="csY6"/>
                    </a:cxn>
                    <a:cxn ang="0">
                      <a:pos x="csX7" y="csY7"/>
                    </a:cxn>
                    <a:cxn ang="0">
                      <a:pos x="csX8" y="csY8"/>
                    </a:cxn>
                    <a:cxn ang="0">
                      <a:pos x="csX9" y="csY9"/>
                    </a:cxn>
                    <a:cxn ang="0">
                      <a:pos x="csX10" y="csY10"/>
                    </a:cxn>
                    <a:cxn ang="0">
                      <a:pos x="csX11" y="csY11"/>
                    </a:cxn>
                    <a:cxn ang="0">
                      <a:pos x="csX12" y="csY12"/>
                    </a:cxn>
                    <a:cxn ang="0">
                      <a:pos x="csX13" y="csY13"/>
                    </a:cxn>
                    <a:cxn ang="0">
                      <a:pos x="csX14" y="csY14"/>
                    </a:cxn>
                  </a:cxnLst>
                  <a:rect l="l" t="t" r="r" b="b"/>
                  <a:pathLst>
                    <a:path w="3048000" h="885825" fill="none" extrusionOk="0">
                      <a:moveTo>
                        <a:pt x="0" y="0"/>
                      </a:moveTo>
                      <a:cubicBezTo>
                        <a:pt x="298738" y="-11480"/>
                        <a:pt x="355905" y="27281"/>
                        <a:pt x="670560" y="0"/>
                      </a:cubicBezTo>
                      <a:cubicBezTo>
                        <a:pt x="985215" y="-27281"/>
                        <a:pt x="1116970" y="26673"/>
                        <a:pt x="1310640" y="0"/>
                      </a:cubicBezTo>
                      <a:cubicBezTo>
                        <a:pt x="1504310" y="-26673"/>
                        <a:pt x="1684125" y="2328"/>
                        <a:pt x="1950720" y="0"/>
                      </a:cubicBezTo>
                      <a:cubicBezTo>
                        <a:pt x="2217315" y="-2328"/>
                        <a:pt x="2347775" y="-11483"/>
                        <a:pt x="2468880" y="0"/>
                      </a:cubicBezTo>
                      <a:cubicBezTo>
                        <a:pt x="2589985" y="11483"/>
                        <a:pt x="2827001" y="27737"/>
                        <a:pt x="3048000" y="0"/>
                      </a:cubicBezTo>
                      <a:cubicBezTo>
                        <a:pt x="3054868" y="212660"/>
                        <a:pt x="3037391" y="249620"/>
                        <a:pt x="3048000" y="451771"/>
                      </a:cubicBezTo>
                      <a:cubicBezTo>
                        <a:pt x="3058609" y="653922"/>
                        <a:pt x="3065272" y="788339"/>
                        <a:pt x="3048000" y="885825"/>
                      </a:cubicBezTo>
                      <a:cubicBezTo>
                        <a:pt x="2813233" y="886231"/>
                        <a:pt x="2656383" y="859758"/>
                        <a:pt x="2438400" y="885825"/>
                      </a:cubicBezTo>
                      <a:cubicBezTo>
                        <a:pt x="2220417" y="911892"/>
                        <a:pt x="2174661" y="890748"/>
                        <a:pt x="1920240" y="885825"/>
                      </a:cubicBezTo>
                      <a:cubicBezTo>
                        <a:pt x="1665819" y="880902"/>
                        <a:pt x="1555077" y="898342"/>
                        <a:pt x="1402080" y="885825"/>
                      </a:cubicBezTo>
                      <a:cubicBezTo>
                        <a:pt x="1249083" y="873308"/>
                        <a:pt x="949903" y="904169"/>
                        <a:pt x="762000" y="885825"/>
                      </a:cubicBezTo>
                      <a:cubicBezTo>
                        <a:pt x="574097" y="867481"/>
                        <a:pt x="353726" y="890841"/>
                        <a:pt x="0" y="885825"/>
                      </a:cubicBezTo>
                      <a:cubicBezTo>
                        <a:pt x="-16893" y="762569"/>
                        <a:pt x="21853" y="539252"/>
                        <a:pt x="0" y="425196"/>
                      </a:cubicBezTo>
                      <a:cubicBezTo>
                        <a:pt x="-21853" y="311140"/>
                        <a:pt x="-20536" y="147920"/>
                        <a:pt x="0" y="0"/>
                      </a:cubicBezTo>
                      <a:close/>
                    </a:path>
                    <a:path w="3048000" h="885825" stroke="0" extrusionOk="0">
                      <a:moveTo>
                        <a:pt x="0" y="0"/>
                      </a:moveTo>
                      <a:cubicBezTo>
                        <a:pt x="259072" y="-601"/>
                        <a:pt x="449154" y="-3049"/>
                        <a:pt x="579120" y="0"/>
                      </a:cubicBezTo>
                      <a:cubicBezTo>
                        <a:pt x="709086" y="3049"/>
                        <a:pt x="851384" y="-9403"/>
                        <a:pt x="1097280" y="0"/>
                      </a:cubicBezTo>
                      <a:cubicBezTo>
                        <a:pt x="1343176" y="9403"/>
                        <a:pt x="1453039" y="15725"/>
                        <a:pt x="1767840" y="0"/>
                      </a:cubicBezTo>
                      <a:cubicBezTo>
                        <a:pt x="2082641" y="-15725"/>
                        <a:pt x="2151570" y="5049"/>
                        <a:pt x="2346960" y="0"/>
                      </a:cubicBezTo>
                      <a:cubicBezTo>
                        <a:pt x="2542350" y="-5049"/>
                        <a:pt x="2795072" y="-29675"/>
                        <a:pt x="3048000" y="0"/>
                      </a:cubicBezTo>
                      <a:cubicBezTo>
                        <a:pt x="3043450" y="183381"/>
                        <a:pt x="3044783" y="290969"/>
                        <a:pt x="3048000" y="460629"/>
                      </a:cubicBezTo>
                      <a:cubicBezTo>
                        <a:pt x="3051217" y="630289"/>
                        <a:pt x="3050227" y="721177"/>
                        <a:pt x="3048000" y="885825"/>
                      </a:cubicBezTo>
                      <a:cubicBezTo>
                        <a:pt x="2826515" y="887560"/>
                        <a:pt x="2572368" y="911766"/>
                        <a:pt x="2438400" y="885825"/>
                      </a:cubicBezTo>
                      <a:cubicBezTo>
                        <a:pt x="2304432" y="859884"/>
                        <a:pt x="2149384" y="903778"/>
                        <a:pt x="1920240" y="885825"/>
                      </a:cubicBezTo>
                      <a:cubicBezTo>
                        <a:pt x="1691096" y="867872"/>
                        <a:pt x="1589686" y="857827"/>
                        <a:pt x="1310640" y="885825"/>
                      </a:cubicBezTo>
                      <a:cubicBezTo>
                        <a:pt x="1031594" y="913823"/>
                        <a:pt x="964128" y="868351"/>
                        <a:pt x="701040" y="885825"/>
                      </a:cubicBezTo>
                      <a:cubicBezTo>
                        <a:pt x="437952" y="903299"/>
                        <a:pt x="253828" y="877667"/>
                        <a:pt x="0" y="885825"/>
                      </a:cubicBezTo>
                      <a:cubicBezTo>
                        <a:pt x="14965" y="733190"/>
                        <a:pt x="-5433" y="573032"/>
                        <a:pt x="0" y="425196"/>
                      </a:cubicBezTo>
                      <a:cubicBezTo>
                        <a:pt x="5433" y="277360"/>
                        <a:pt x="13819" y="207019"/>
                        <a:pt x="0" y="0"/>
                      </a:cubicBezTo>
                      <a:close/>
                    </a:path>
                  </a:pathLst>
                </a:custGeom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fld id="{5FD38C64-EB92-4B61-AE4A-F8272E8DF9A9}" type="TxLink">
            <a:rPr lang="en-US" sz="3200" b="1" i="0" u="none" strike="noStrike">
              <a:ln>
                <a:noFill/>
              </a:ln>
              <a:solidFill>
                <a:schemeClr val="accent2"/>
              </a:solidFill>
              <a:latin typeface="Montserrat"/>
              <a:ea typeface="+mn-ea"/>
              <a:cs typeface="+mn-cs"/>
            </a:rPr>
            <a:pPr marL="0" indent="0" algn="ctr"/>
            <a:t>35,09%</a:t>
          </a:fld>
          <a:endParaRPr lang="es-ES" sz="3200" b="1" i="0" u="none" strike="noStrike">
            <a:ln>
              <a:noFill/>
            </a:ln>
            <a:solidFill>
              <a:schemeClr val="accent2"/>
            </a:solidFill>
            <a:latin typeface="Montserra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161925</xdr:colOff>
      <xdr:row>7</xdr:row>
      <xdr:rowOff>114300</xdr:rowOff>
    </xdr:from>
    <xdr:to>
      <xdr:col>2</xdr:col>
      <xdr:colOff>104775</xdr:colOff>
      <xdr:row>10</xdr:row>
      <xdr:rowOff>28575</xdr:rowOff>
    </xdr:to>
    <xdr:sp macro="" textlink="$B$3">
      <xdr:nvSpPr>
        <xdr:cNvPr id="8" name="Rectángulo 7">
          <a:extLst>
            <a:ext uri="{FF2B5EF4-FFF2-40B4-BE49-F238E27FC236}">
              <a16:creationId xmlns:a16="http://schemas.microsoft.com/office/drawing/2014/main" id="{46B585B8-B222-847D-C3BE-F7E012FC6704}"/>
            </a:ext>
          </a:extLst>
        </xdr:cNvPr>
        <xdr:cNvSpPr/>
      </xdr:nvSpPr>
      <xdr:spPr>
        <a:xfrm>
          <a:off x="923925" y="1743075"/>
          <a:ext cx="3057525" cy="485775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C75564FA-1B69-4BFB-976A-56AAD47AFF4C}" type="TxLink">
            <a:rPr lang="en-US" sz="2000" b="1" i="0" u="none" strike="noStrike">
              <a:solidFill>
                <a:srgbClr val="000000"/>
              </a:solidFill>
              <a:latin typeface="Montserrat"/>
            </a:rPr>
            <a:pPr algn="ctr"/>
            <a:t>Facturación Total General </a:t>
          </a:fld>
          <a:endParaRPr lang="es-ES" sz="20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1333500</xdr:colOff>
      <xdr:row>7</xdr:row>
      <xdr:rowOff>123825</xdr:rowOff>
    </xdr:from>
    <xdr:to>
      <xdr:col>6</xdr:col>
      <xdr:colOff>533400</xdr:colOff>
      <xdr:row>10</xdr:row>
      <xdr:rowOff>19050</xdr:rowOff>
    </xdr:to>
    <xdr:sp macro="" textlink="$B$4">
      <xdr:nvSpPr>
        <xdr:cNvPr id="9" name="Rectángulo 8">
          <a:extLst>
            <a:ext uri="{FF2B5EF4-FFF2-40B4-BE49-F238E27FC236}">
              <a16:creationId xmlns:a16="http://schemas.microsoft.com/office/drawing/2014/main" id="{289373D2-009C-4A39-92F1-19CA6AD65B31}"/>
            </a:ext>
          </a:extLst>
        </xdr:cNvPr>
        <xdr:cNvSpPr/>
      </xdr:nvSpPr>
      <xdr:spPr>
        <a:xfrm>
          <a:off x="5210175" y="1752600"/>
          <a:ext cx="3057525" cy="466725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808067D3-80FC-4B86-9799-AC659888ACA6}" type="TxLink">
            <a:rPr lang="en-US" sz="2000" b="1" i="0" u="none" strike="noStrike">
              <a:solidFill>
                <a:srgbClr val="000000"/>
              </a:solidFill>
              <a:latin typeface="Montserrat"/>
            </a:rPr>
            <a:pPr algn="ctr"/>
            <a:t>Ganancia neta total (€)</a:t>
          </a:fld>
          <a:endParaRPr lang="es-ES" sz="2000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133350</xdr:colOff>
      <xdr:row>7</xdr:row>
      <xdr:rowOff>66676</xdr:rowOff>
    </xdr:from>
    <xdr:to>
      <xdr:col>12</xdr:col>
      <xdr:colOff>142875</xdr:colOff>
      <xdr:row>9</xdr:row>
      <xdr:rowOff>161926</xdr:rowOff>
    </xdr:to>
    <xdr:sp macro="" textlink="$B$5">
      <xdr:nvSpPr>
        <xdr:cNvPr id="10" name="Rectángulo 9">
          <a:extLst>
            <a:ext uri="{FF2B5EF4-FFF2-40B4-BE49-F238E27FC236}">
              <a16:creationId xmlns:a16="http://schemas.microsoft.com/office/drawing/2014/main" id="{67C80EE5-254E-43AD-AEDC-D0A7137A5262}"/>
            </a:ext>
          </a:extLst>
        </xdr:cNvPr>
        <xdr:cNvSpPr/>
      </xdr:nvSpPr>
      <xdr:spPr>
        <a:xfrm>
          <a:off x="9391650" y="1695451"/>
          <a:ext cx="3057525" cy="476250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A52CC341-76E3-4A23-AD9E-22E8CAEFC7AE}" type="TxLink">
            <a:rPr lang="en-US" sz="2000" b="1" i="0" u="none" strike="noStrike">
              <a:solidFill>
                <a:srgbClr val="000000"/>
              </a:solidFill>
              <a:latin typeface="Montserrat"/>
            </a:rPr>
            <a:pPr algn="ctr"/>
            <a:t>Margen neto promedio</a:t>
          </a:fld>
          <a:endParaRPr lang="es-ES" sz="20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180975</xdr:colOff>
      <xdr:row>14</xdr:row>
      <xdr:rowOff>57149</xdr:rowOff>
    </xdr:from>
    <xdr:to>
      <xdr:col>12</xdr:col>
      <xdr:colOff>180975</xdr:colOff>
      <xdr:row>24</xdr:row>
      <xdr:rowOff>200024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0117167-84A2-4738-A4ED-FF11A71BB5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828675</xdr:colOff>
      <xdr:row>14</xdr:row>
      <xdr:rowOff>76200</xdr:rowOff>
    </xdr:from>
    <xdr:to>
      <xdr:col>4</xdr:col>
      <xdr:colOff>1</xdr:colOff>
      <xdr:row>24</xdr:row>
      <xdr:rowOff>171450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1D7D70E4-5BBA-4CF0-BDCB-D5E43F3B98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30</xdr:row>
      <xdr:rowOff>0</xdr:rowOff>
    </xdr:from>
    <xdr:ext cx="11880000" cy="2592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0</xdr:colOff>
      <xdr:row>87</xdr:row>
      <xdr:rowOff>0</xdr:rowOff>
    </xdr:from>
    <xdr:ext cx="11880000" cy="39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uard Pubill Solana" refreshedDate="46319.807012847225" createdVersion="8" refreshedVersion="8" minRefreshableVersion="3" recordCount="200" xr:uid="{B5E0D6E6-BA69-491F-82FE-EF948AF639F8}">
  <cacheSource type="worksheet">
    <worksheetSource name="ventas_raw_200[[Sucursal_limpio]:[Comision]]"/>
  </cacheSource>
  <cacheFields count="13">
    <cacheField name="Sucursal_limpio" numFmtId="0">
      <sharedItems count="4">
        <s v="Corrientes"/>
        <s v="Posadas"/>
        <s v="Resistencia"/>
        <s v="Formosa"/>
      </sharedItems>
    </cacheField>
    <cacheField name="Vendedor_limpio" numFmtId="0">
      <sharedItems/>
    </cacheField>
    <cacheField name="Producto_limpio" numFmtId="0">
      <sharedItems/>
    </cacheField>
    <cacheField name="Largo_ID" numFmtId="0">
      <sharedItems containsSemiMixedTypes="0" containsString="0" containsNumber="1" containsInteger="1" minValue="8" maxValue="10"/>
    </cacheField>
    <cacheField name="ID_Transaccion_Limpio" numFmtId="0">
      <sharedItems/>
    </cacheField>
    <cacheField name="Largo_ID2" numFmtId="0">
      <sharedItems containsSemiMixedTypes="0" containsString="0" containsNumber="1" containsInteger="1" minValue="8" maxValue="8"/>
    </cacheField>
    <cacheField name="Cantidad_Auditada" numFmtId="1">
      <sharedItems containsSemiMixedTypes="0" containsString="0" containsNumber="1" containsInteger="1" minValue="1" maxValue="25"/>
    </cacheField>
    <cacheField name="Categoria_oficial" numFmtId="0">
      <sharedItems count="4">
        <s v="Bazar"/>
        <s v="Tecnología"/>
        <s v="Alimentos"/>
        <s v="Mascotas"/>
      </sharedItems>
    </cacheField>
    <cacheField name="Proveedor_Oficial" numFmtId="0">
      <sharedItems/>
    </cacheField>
    <cacheField name="Total_Venta" numFmtId="0">
      <sharedItems containsSemiMixedTypes="0" containsString="0" containsNumber="1" containsInteger="1" minValue="3800" maxValue="1035000"/>
    </cacheField>
    <cacheField name="Total_Costo" numFmtId="0">
      <sharedItems containsSemiMixedTypes="0" containsString="0" containsNumber="1" containsInteger="1" minValue="2500" maxValue="690000"/>
    </cacheField>
    <cacheField name="Ganancia" numFmtId="0">
      <sharedItems containsSemiMixedTypes="0" containsString="0" containsNumber="1" containsInteger="1" minValue="1300" maxValue="345000"/>
    </cacheField>
    <cacheField name="Comision" numFmtId="164">
      <sharedItems containsSemiMixedTypes="0" containsString="0" containsNumber="1" containsInteger="1" minValue="76" maxValue="621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s v="Ana Martinez"/>
    <s v="Mates De Madera Calada"/>
    <n v="8"/>
    <s v="TRX-1001"/>
    <n v="8"/>
    <n v="8"/>
    <x v="0"/>
    <s v="Artesanías Guaraníes"/>
    <n v="68000"/>
    <n v="38400"/>
    <n v="29600"/>
    <n v="1360"/>
  </r>
  <r>
    <x v="1"/>
    <s v="Juan Perez"/>
    <s v="Termo Acero Inoxidable 1.3L"/>
    <n v="8"/>
    <s v="TRX-1002"/>
    <n v="8"/>
    <n v="2"/>
    <x v="0"/>
    <s v="Distribuidora del Nordeste"/>
    <n v="64000"/>
    <n v="42000"/>
    <n v="22000"/>
    <n v="2560"/>
  </r>
  <r>
    <x v="1"/>
    <s v="Juan Perez"/>
    <s v="Mouse Inalámbrico Ergonómico"/>
    <n v="8"/>
    <s v="TRX-1003"/>
    <n v="8"/>
    <n v="23"/>
    <x v="1"/>
    <s v="TechImport S.R.L."/>
    <n v="345000"/>
    <n v="218500"/>
    <n v="126500"/>
    <n v="6900"/>
  </r>
  <r>
    <x v="2"/>
    <s v="Ana Martinez"/>
    <s v="Yerba Mate Premium 1Kg"/>
    <n v="8"/>
    <s v="TRX-1004"/>
    <n v="8"/>
    <n v="25"/>
    <x v="2"/>
    <s v="Cooperativa Neike"/>
    <n v="95000"/>
    <n v="62500"/>
    <n v="32500"/>
    <n v="1900"/>
  </r>
  <r>
    <x v="0"/>
    <s v="Ana Martinez"/>
    <s v="Mouse Inalámbrico Ergonómico"/>
    <n v="8"/>
    <s v="TRX-1005"/>
    <n v="8"/>
    <n v="3"/>
    <x v="1"/>
    <s v="TechImport S.R.L."/>
    <n v="45000"/>
    <n v="28500"/>
    <n v="16500"/>
    <n v="900"/>
  </r>
  <r>
    <x v="3"/>
    <s v="Juan Perez"/>
    <s v="Correa Reforzada Canina 3M"/>
    <n v="8"/>
    <s v="TRX-1006"/>
    <n v="8"/>
    <n v="18"/>
    <x v="3"/>
    <s v="PetStyle Litoral"/>
    <n v="165600"/>
    <n v="99000"/>
    <n v="66600"/>
    <n v="3312"/>
  </r>
  <r>
    <x v="2"/>
    <s v="Ana Martinez"/>
    <s v="Alimento Perro Adulto 15Kg"/>
    <n v="10"/>
    <s v="TRX-1007"/>
    <n v="8"/>
    <n v="12"/>
    <x v="3"/>
    <s v="NutriDog Arg"/>
    <n v="420000"/>
    <n v="288000"/>
    <n v="132000"/>
    <n v="16800"/>
  </r>
  <r>
    <x v="3"/>
    <s v="Maria Gomez"/>
    <s v="Alimento Gato Castrado 10Kg"/>
    <n v="8"/>
    <s v="TRX-1008"/>
    <n v="8"/>
    <n v="8"/>
    <x v="3"/>
    <s v="NutriDog Arg"/>
    <n v="236000"/>
    <n v="160000"/>
    <n v="76000"/>
    <n v="9440"/>
  </r>
  <r>
    <x v="2"/>
    <s v="Juan Perez"/>
    <s v="Cargador Rápido Usb-C 65W"/>
    <n v="8"/>
    <s v="TRX-1009"/>
    <n v="8"/>
    <n v="7"/>
    <x v="1"/>
    <s v="TechImport S.R.L."/>
    <n v="154000"/>
    <n v="98000"/>
    <n v="56000"/>
    <n v="3080"/>
  </r>
  <r>
    <x v="1"/>
    <s v="Ana Martinez"/>
    <s v="Snack Premios Perro 250G"/>
    <n v="8"/>
    <s v="TRX-1010"/>
    <n v="8"/>
    <n v="24"/>
    <x v="3"/>
    <s v="NutriDog Arg"/>
    <n v="74400"/>
    <n v="43200"/>
    <n v="31200"/>
    <n v="1488"/>
  </r>
  <r>
    <x v="1"/>
    <s v="Ana Martinez"/>
    <s v="Alimento Gato Castrado 10Kg"/>
    <n v="8"/>
    <s v="TRX-1011"/>
    <n v="8"/>
    <n v="22"/>
    <x v="3"/>
    <s v="NutriDog Arg"/>
    <n v="649000"/>
    <n v="440000"/>
    <n v="209000"/>
    <n v="25960"/>
  </r>
  <r>
    <x v="0"/>
    <s v="Ana Martinez"/>
    <s v="Termo Acero Inoxidable 1.3L"/>
    <n v="8"/>
    <s v="TRX-1012"/>
    <n v="8"/>
    <n v="9"/>
    <x v="0"/>
    <s v="Distribuidora del Nordeste"/>
    <n v="288000"/>
    <n v="189000"/>
    <n v="99000"/>
    <n v="17280"/>
  </r>
  <r>
    <x v="2"/>
    <s v="Juan Perez"/>
    <s v="Juguete Mordillo Goma"/>
    <n v="8"/>
    <s v="TRX-1013"/>
    <n v="8"/>
    <n v="13"/>
    <x v="3"/>
    <s v="PetStyle Litoral"/>
    <n v="62400"/>
    <n v="35100"/>
    <n v="27300"/>
    <n v="1248"/>
  </r>
  <r>
    <x v="0"/>
    <s v="Ana Martinez"/>
    <s v="Shampoo Canino Neutro 500Ml"/>
    <n v="8"/>
    <s v="TRX-1014"/>
    <n v="8"/>
    <n v="9"/>
    <x v="3"/>
    <s v="PetStyle Litoral"/>
    <n v="55800"/>
    <n v="34200"/>
    <n v="21600"/>
    <n v="1116"/>
  </r>
  <r>
    <x v="0"/>
    <s v="Juan Perez"/>
    <s v="Snack Premios Perro 250G"/>
    <n v="8"/>
    <s v="TRX-1015"/>
    <n v="8"/>
    <n v="3"/>
    <x v="3"/>
    <s v="NutriDog Arg"/>
    <n v="9300"/>
    <n v="5400"/>
    <n v="3900"/>
    <n v="186"/>
  </r>
  <r>
    <x v="3"/>
    <s v="Ana Martinez"/>
    <s v="Alimento Perro Adulto 15Kg"/>
    <n v="8"/>
    <s v="TRX-1016"/>
    <n v="8"/>
    <n v="3"/>
    <x v="3"/>
    <s v="NutriDog Arg"/>
    <n v="105000"/>
    <n v="72000"/>
    <n v="33000"/>
    <n v="4200"/>
  </r>
  <r>
    <x v="1"/>
    <s v="Ana Martinez"/>
    <s v="Yerba Mate Premium 1Kg"/>
    <n v="8"/>
    <s v="TRX-1017"/>
    <n v="8"/>
    <n v="22"/>
    <x v="2"/>
    <s v="Cooperativa Neike"/>
    <n v="83600"/>
    <n v="55000"/>
    <n v="28600"/>
    <n v="1672"/>
  </r>
  <r>
    <x v="3"/>
    <s v="Ana Martinez"/>
    <s v="Alimento Perro Adulto 15Kg"/>
    <n v="8"/>
    <s v="TRX-1018"/>
    <n v="8"/>
    <n v="10"/>
    <x v="3"/>
    <s v="NutriDog Arg"/>
    <n v="350000"/>
    <n v="240000"/>
    <n v="110000"/>
    <n v="14000"/>
  </r>
  <r>
    <x v="2"/>
    <s v="Carlos Ruiz"/>
    <s v="Termo Acero Inoxidable 1.3L"/>
    <n v="8"/>
    <s v="TRX-1019"/>
    <n v="8"/>
    <n v="17"/>
    <x v="0"/>
    <s v="Distribuidora del Nordeste"/>
    <n v="544000"/>
    <n v="357000"/>
    <n v="187000"/>
    <n v="21760"/>
  </r>
  <r>
    <x v="1"/>
    <s v="Carlos Ruiz"/>
    <s v="Snack Premios Perro 250G"/>
    <n v="8"/>
    <s v="TRX-1020"/>
    <n v="8"/>
    <n v="12"/>
    <x v="3"/>
    <s v="NutriDog Arg"/>
    <n v="37200"/>
    <n v="21600"/>
    <n v="15600"/>
    <n v="744"/>
  </r>
  <r>
    <x v="0"/>
    <s v="Carlos Ruiz"/>
    <s v="Mouse Inalámbrico Ergonómico"/>
    <n v="8"/>
    <s v="TRX-1021"/>
    <n v="8"/>
    <n v="1"/>
    <x v="1"/>
    <s v="TechImport S.R.L."/>
    <n v="15000"/>
    <n v="9500"/>
    <n v="5500"/>
    <n v="300"/>
  </r>
  <r>
    <x v="3"/>
    <s v="Ana Martinez"/>
    <s v="Alimento Perro Adulto 15Kg"/>
    <n v="8"/>
    <s v="TRX-1022"/>
    <n v="8"/>
    <n v="2"/>
    <x v="3"/>
    <s v="NutriDog Arg"/>
    <n v="70000"/>
    <n v="48000"/>
    <n v="22000"/>
    <n v="2800"/>
  </r>
  <r>
    <x v="2"/>
    <s v="Ana Martinez"/>
    <s v="Juguete Mordillo Goma"/>
    <n v="10"/>
    <s v="TRX-1023"/>
    <n v="8"/>
    <n v="25"/>
    <x v="3"/>
    <s v="PetStyle Litoral"/>
    <n v="120000"/>
    <n v="67500"/>
    <n v="52500"/>
    <n v="2400"/>
  </r>
  <r>
    <x v="1"/>
    <s v="Juan Perez"/>
    <s v="Alimento Gato Castrado 10Kg"/>
    <n v="8"/>
    <s v="TRX-1024"/>
    <n v="8"/>
    <n v="20"/>
    <x v="3"/>
    <s v="NutriDog Arg"/>
    <n v="590000"/>
    <n v="400000"/>
    <n v="190000"/>
    <n v="23600"/>
  </r>
  <r>
    <x v="1"/>
    <s v="Juan Perez"/>
    <s v="Mates De Madera Calada"/>
    <n v="8"/>
    <s v="TRX-1025"/>
    <n v="8"/>
    <n v="13"/>
    <x v="0"/>
    <s v="Artesanías Guaraníes"/>
    <n v="110500"/>
    <n v="62400"/>
    <n v="48100"/>
    <n v="2210"/>
  </r>
  <r>
    <x v="2"/>
    <s v="Juan Perez"/>
    <s v="Soporte Regulable Notebook"/>
    <n v="8"/>
    <s v="TRX-1026"/>
    <n v="8"/>
    <n v="3"/>
    <x v="1"/>
    <s v="TechImport S.R.L."/>
    <n v="58500"/>
    <n v="36000"/>
    <n v="22500"/>
    <n v="1170"/>
  </r>
  <r>
    <x v="0"/>
    <s v="Juan Perez"/>
    <s v="Café En Grano Intenso 1Kg"/>
    <n v="8"/>
    <s v="TRX-1027"/>
    <n v="8"/>
    <n v="2"/>
    <x v="2"/>
    <s v="Distribuidora del Nordeste"/>
    <n v="37000"/>
    <n v="25000"/>
    <n v="12000"/>
    <n v="740"/>
  </r>
  <r>
    <x v="0"/>
    <s v="Maria Gomez"/>
    <s v="Alimento Gato Castrado 10Kg"/>
    <n v="10"/>
    <s v="TRX-1028"/>
    <n v="8"/>
    <n v="7"/>
    <x v="3"/>
    <s v="NutriDog Arg"/>
    <n v="206500"/>
    <n v="140000"/>
    <n v="66500"/>
    <n v="12390"/>
  </r>
  <r>
    <x v="0"/>
    <s v="Ana Martinez"/>
    <s v="Shampoo Canino Neutro 500Ml"/>
    <n v="8"/>
    <s v="TRX-1029"/>
    <n v="8"/>
    <n v="14"/>
    <x v="3"/>
    <s v="PetStyle Litoral"/>
    <n v="86800"/>
    <n v="53200"/>
    <n v="33600"/>
    <n v="1736"/>
  </r>
  <r>
    <x v="2"/>
    <s v="Carlos Ruiz"/>
    <s v="Alimento Perro Adulto 15Kg"/>
    <n v="8"/>
    <s v="TRX-1030"/>
    <n v="8"/>
    <n v="2"/>
    <x v="3"/>
    <s v="NutriDog Arg"/>
    <n v="70000"/>
    <n v="48000"/>
    <n v="22000"/>
    <n v="2800"/>
  </r>
  <r>
    <x v="1"/>
    <s v="Maria Gomez"/>
    <s v="Alimento Perro Adulto 15Kg"/>
    <n v="10"/>
    <s v="TRX-1031"/>
    <n v="8"/>
    <n v="4"/>
    <x v="3"/>
    <s v="NutriDog Arg"/>
    <n v="140000"/>
    <n v="96000"/>
    <n v="44000"/>
    <n v="5600"/>
  </r>
  <r>
    <x v="0"/>
    <s v="Maria Gomez"/>
    <s v="Teclado Mecánico Rgb"/>
    <n v="8"/>
    <s v="TRX-1032"/>
    <n v="8"/>
    <n v="3"/>
    <x v="1"/>
    <s v="TechImport S.R.L."/>
    <n v="135000"/>
    <n v="90000"/>
    <n v="45000"/>
    <n v="8100"/>
  </r>
  <r>
    <x v="1"/>
    <s v="Carlos Ruiz"/>
    <s v="Auriculares Bluetooth Pro"/>
    <n v="10"/>
    <s v="TRX-1033"/>
    <n v="8"/>
    <n v="3"/>
    <x v="1"/>
    <s v="TechImport S.R.L."/>
    <n v="84000"/>
    <n v="54000"/>
    <n v="30000"/>
    <n v="3360"/>
  </r>
  <r>
    <x v="2"/>
    <s v="Juan Perez"/>
    <s v="Mouse Inalámbrico Ergonómico"/>
    <n v="8"/>
    <s v="TRX-1034"/>
    <n v="8"/>
    <n v="2"/>
    <x v="1"/>
    <s v="TechImport S.R.L."/>
    <n v="30000"/>
    <n v="19000"/>
    <n v="11000"/>
    <n v="600"/>
  </r>
  <r>
    <x v="3"/>
    <s v="Ana Martinez"/>
    <s v="Yerba Mate Premium 1Kg"/>
    <n v="8"/>
    <s v="TRX-1035"/>
    <n v="8"/>
    <n v="14"/>
    <x v="2"/>
    <s v="Cooperativa Neike"/>
    <n v="53200"/>
    <n v="35000"/>
    <n v="18200"/>
    <n v="1064"/>
  </r>
  <r>
    <x v="2"/>
    <s v="Juan Perez"/>
    <s v="Termo Acero Inoxidable 1.3L"/>
    <n v="8"/>
    <s v="TRX-1036"/>
    <n v="8"/>
    <n v="7"/>
    <x v="0"/>
    <s v="Distribuidora del Nordeste"/>
    <n v="224000"/>
    <n v="147000"/>
    <n v="77000"/>
    <n v="8960"/>
  </r>
  <r>
    <x v="2"/>
    <s v="Juan Perez"/>
    <s v="Auriculares Bluetooth Pro"/>
    <n v="10"/>
    <s v="TRX-1037"/>
    <n v="8"/>
    <n v="16"/>
    <x v="1"/>
    <s v="TechImport S.R.L."/>
    <n v="448000"/>
    <n v="288000"/>
    <n v="160000"/>
    <n v="17920"/>
  </r>
  <r>
    <x v="1"/>
    <s v="Juan Perez"/>
    <s v="Mouse Inalámbrico Ergonómico"/>
    <n v="10"/>
    <s v="TRX-1038"/>
    <n v="8"/>
    <n v="3"/>
    <x v="1"/>
    <s v="TechImport S.R.L."/>
    <n v="45000"/>
    <n v="28500"/>
    <n v="16500"/>
    <n v="900"/>
  </r>
  <r>
    <x v="1"/>
    <s v="Juan Perez"/>
    <s v="Mates De Madera Calada"/>
    <n v="8"/>
    <s v="TRX-1039"/>
    <n v="8"/>
    <n v="2"/>
    <x v="0"/>
    <s v="Artesanías Guaraníes"/>
    <n v="17000"/>
    <n v="9600"/>
    <n v="7400"/>
    <n v="340"/>
  </r>
  <r>
    <x v="2"/>
    <s v="Maria Gomez"/>
    <s v="Termo Acero Inoxidable 1.3L"/>
    <n v="8"/>
    <s v="TRX-1040"/>
    <n v="8"/>
    <n v="23"/>
    <x v="0"/>
    <s v="Distribuidora del Nordeste"/>
    <n v="736000"/>
    <n v="483000"/>
    <n v="253000"/>
    <n v="29440"/>
  </r>
  <r>
    <x v="2"/>
    <s v="Carlos Ruiz"/>
    <s v="Auriculares Bluetooth Pro"/>
    <n v="8"/>
    <s v="TRX-1041"/>
    <n v="8"/>
    <n v="25"/>
    <x v="1"/>
    <s v="TechImport S.R.L."/>
    <n v="700000"/>
    <n v="450000"/>
    <n v="250000"/>
    <n v="28000"/>
  </r>
  <r>
    <x v="0"/>
    <s v="Juan Perez"/>
    <s v="Alimento Gato Castrado 10Kg"/>
    <n v="8"/>
    <s v="TRX-1042"/>
    <n v="8"/>
    <n v="17"/>
    <x v="3"/>
    <s v="NutriDog Arg"/>
    <n v="501500"/>
    <n v="340000"/>
    <n v="161500"/>
    <n v="30090"/>
  </r>
  <r>
    <x v="2"/>
    <s v="Maria Gomez"/>
    <s v="Cargador Rápido Usb-C 65W"/>
    <n v="8"/>
    <s v="TRX-1043"/>
    <n v="8"/>
    <n v="18"/>
    <x v="1"/>
    <s v="TechImport S.R.L."/>
    <n v="396000"/>
    <n v="252000"/>
    <n v="144000"/>
    <n v="7920"/>
  </r>
  <r>
    <x v="1"/>
    <s v="Ana Martinez"/>
    <s v="Shampoo Canino Neutro 500Ml"/>
    <n v="8"/>
    <s v="TRX-1044"/>
    <n v="8"/>
    <n v="22"/>
    <x v="3"/>
    <s v="PetStyle Litoral"/>
    <n v="136400"/>
    <n v="83600"/>
    <n v="52800"/>
    <n v="2728"/>
  </r>
  <r>
    <x v="0"/>
    <s v="Ana Martinez"/>
    <s v="Soporte Regulable Notebook"/>
    <n v="8"/>
    <s v="TRX-1045"/>
    <n v="8"/>
    <n v="9"/>
    <x v="1"/>
    <s v="TechImport S.R.L."/>
    <n v="175500"/>
    <n v="108000"/>
    <n v="67500"/>
    <n v="3510"/>
  </r>
  <r>
    <x v="1"/>
    <s v="Ana Martinez"/>
    <s v="Termo Acero Inoxidable 1.3L"/>
    <n v="8"/>
    <s v="TRX-1046"/>
    <n v="8"/>
    <n v="16"/>
    <x v="0"/>
    <s v="Distribuidora del Nordeste"/>
    <n v="512000"/>
    <n v="336000"/>
    <n v="176000"/>
    <n v="20480"/>
  </r>
  <r>
    <x v="2"/>
    <s v="Ana Martinez"/>
    <s v="Shampoo Canino Neutro 500Ml"/>
    <n v="10"/>
    <s v="TRX-1047"/>
    <n v="8"/>
    <n v="1"/>
    <x v="3"/>
    <s v="PetStyle Litoral"/>
    <n v="6200"/>
    <n v="3800"/>
    <n v="2400"/>
    <n v="124"/>
  </r>
  <r>
    <x v="2"/>
    <s v="Carlos Ruiz"/>
    <s v="Yerba Mate Premium 1Kg"/>
    <n v="8"/>
    <s v="TRX-1048"/>
    <n v="8"/>
    <n v="18"/>
    <x v="2"/>
    <s v="Cooperativa Neike"/>
    <n v="68400"/>
    <n v="45000"/>
    <n v="23400"/>
    <n v="1368"/>
  </r>
  <r>
    <x v="1"/>
    <s v="Juan Perez"/>
    <s v="Correa Reforzada Canina 3M"/>
    <n v="8"/>
    <s v="TRX-1049"/>
    <n v="8"/>
    <n v="12"/>
    <x v="3"/>
    <s v="PetStyle Litoral"/>
    <n v="110400"/>
    <n v="66000"/>
    <n v="44400"/>
    <n v="2208"/>
  </r>
  <r>
    <x v="2"/>
    <s v="Ana Martinez"/>
    <s v="Auriculares Bluetooth Pro"/>
    <n v="10"/>
    <s v="TRX-1050"/>
    <n v="8"/>
    <n v="2"/>
    <x v="1"/>
    <s v="TechImport S.R.L."/>
    <n v="56000"/>
    <n v="36000"/>
    <n v="20000"/>
    <n v="2240"/>
  </r>
  <r>
    <x v="2"/>
    <s v="Ana Martinez"/>
    <s v="Alimento Perro Adulto 15Kg"/>
    <n v="8"/>
    <s v="TRX-1051"/>
    <n v="8"/>
    <n v="14"/>
    <x v="3"/>
    <s v="NutriDog Arg"/>
    <n v="490000"/>
    <n v="336000"/>
    <n v="154000"/>
    <n v="19600"/>
  </r>
  <r>
    <x v="3"/>
    <s v="Ana Martinez"/>
    <s v="Café En Grano Intenso 1Kg"/>
    <n v="8"/>
    <s v="TRX-1052"/>
    <n v="8"/>
    <n v="14"/>
    <x v="2"/>
    <s v="Distribuidora del Nordeste"/>
    <n v="259000"/>
    <n v="175000"/>
    <n v="84000"/>
    <n v="5180"/>
  </r>
  <r>
    <x v="3"/>
    <s v="Carlos Ruiz"/>
    <s v="Soporte Regulable Notebook"/>
    <n v="8"/>
    <s v="TRX-1053"/>
    <n v="8"/>
    <n v="24"/>
    <x v="1"/>
    <s v="TechImport S.R.L."/>
    <n v="468000"/>
    <n v="288000"/>
    <n v="180000"/>
    <n v="9360"/>
  </r>
  <r>
    <x v="3"/>
    <s v="Juan Perez"/>
    <s v="Alimento Perro Adulto 15Kg"/>
    <n v="8"/>
    <s v="TRX-1054"/>
    <n v="8"/>
    <n v="8"/>
    <x v="3"/>
    <s v="NutriDog Arg"/>
    <n v="280000"/>
    <n v="192000"/>
    <n v="88000"/>
    <n v="11200"/>
  </r>
  <r>
    <x v="3"/>
    <s v="Ana Martinez"/>
    <s v="Termo Acero Inoxidable 1.3L"/>
    <n v="8"/>
    <s v="TRX-1055"/>
    <n v="8"/>
    <n v="1"/>
    <x v="0"/>
    <s v="Distribuidora del Nordeste"/>
    <n v="32000"/>
    <n v="21000"/>
    <n v="11000"/>
    <n v="1280"/>
  </r>
  <r>
    <x v="3"/>
    <s v="Maria Gomez"/>
    <s v="Snack Premios Perro 250G"/>
    <n v="8"/>
    <s v="TRX-1056"/>
    <n v="8"/>
    <n v="17"/>
    <x v="3"/>
    <s v="NutriDog Arg"/>
    <n v="52700"/>
    <n v="30600"/>
    <n v="22100"/>
    <n v="1054"/>
  </r>
  <r>
    <x v="0"/>
    <s v="Juan Perez"/>
    <s v="Teclado Mecánico Rgb"/>
    <n v="8"/>
    <s v="TRX-1057"/>
    <n v="8"/>
    <n v="9"/>
    <x v="1"/>
    <s v="TechImport S.R.L."/>
    <n v="405000"/>
    <n v="270000"/>
    <n v="135000"/>
    <n v="24300"/>
  </r>
  <r>
    <x v="1"/>
    <s v="Carlos Ruiz"/>
    <s v="Mouse Inalámbrico Ergonómico"/>
    <n v="10"/>
    <s v="TRX-1058"/>
    <n v="8"/>
    <n v="11"/>
    <x v="1"/>
    <s v="TechImport S.R.L."/>
    <n v="165000"/>
    <n v="104500"/>
    <n v="60500"/>
    <n v="3300"/>
  </r>
  <r>
    <x v="1"/>
    <s v="Juan Perez"/>
    <s v="Auriculares Bluetooth Pro"/>
    <n v="8"/>
    <s v="TRX-1059"/>
    <n v="8"/>
    <n v="23"/>
    <x v="1"/>
    <s v="TechImport S.R.L."/>
    <n v="644000"/>
    <n v="414000"/>
    <n v="230000"/>
    <n v="25760"/>
  </r>
  <r>
    <x v="1"/>
    <s v="Ana Martinez"/>
    <s v="Yerba Mate Premium 1Kg"/>
    <n v="8"/>
    <s v="TRX-1060"/>
    <n v="8"/>
    <n v="12"/>
    <x v="2"/>
    <s v="Cooperativa Neike"/>
    <n v="45600"/>
    <n v="30000"/>
    <n v="15600"/>
    <n v="912"/>
  </r>
  <r>
    <x v="1"/>
    <s v="Ana Martinez"/>
    <s v="Correa Reforzada Canina 3M"/>
    <n v="8"/>
    <s v="TRX-1061"/>
    <n v="8"/>
    <n v="10"/>
    <x v="3"/>
    <s v="PetStyle Litoral"/>
    <n v="92000"/>
    <n v="55000"/>
    <n v="37000"/>
    <n v="1840"/>
  </r>
  <r>
    <x v="2"/>
    <s v="Carlos Ruiz"/>
    <s v="Mouse Inalámbrico Ergonómico"/>
    <n v="8"/>
    <s v="TRX-1062"/>
    <n v="8"/>
    <n v="14"/>
    <x v="1"/>
    <s v="TechImport S.R.L."/>
    <n v="210000"/>
    <n v="133000"/>
    <n v="77000"/>
    <n v="4200"/>
  </r>
  <r>
    <x v="1"/>
    <s v="Carlos Ruiz"/>
    <s v="Teclado Mecánico Rgb"/>
    <n v="8"/>
    <s v="TRX-1063"/>
    <n v="8"/>
    <n v="18"/>
    <x v="1"/>
    <s v="TechImport S.R.L."/>
    <n v="810000"/>
    <n v="540000"/>
    <n v="270000"/>
    <n v="32400"/>
  </r>
  <r>
    <x v="1"/>
    <s v="Carlos Ruiz"/>
    <s v="Café En Grano Intenso 1Kg"/>
    <n v="8"/>
    <s v="TRX-1064"/>
    <n v="8"/>
    <n v="15"/>
    <x v="2"/>
    <s v="Distribuidora del Nordeste"/>
    <n v="277500"/>
    <n v="187500"/>
    <n v="90000"/>
    <n v="5550"/>
  </r>
  <r>
    <x v="3"/>
    <s v="Ana Martinez"/>
    <s v="Termo Acero Inoxidable 1.3L"/>
    <n v="8"/>
    <s v="TRX-1065"/>
    <n v="8"/>
    <n v="3"/>
    <x v="0"/>
    <s v="Distribuidora del Nordeste"/>
    <n v="96000"/>
    <n v="63000"/>
    <n v="33000"/>
    <n v="3840"/>
  </r>
  <r>
    <x v="3"/>
    <s v="Ana Martinez"/>
    <s v="Shampoo Canino Neutro 500Ml"/>
    <n v="8"/>
    <s v="TRX-1066"/>
    <n v="8"/>
    <n v="10"/>
    <x v="3"/>
    <s v="PetStyle Litoral"/>
    <n v="62000"/>
    <n v="38000"/>
    <n v="24000"/>
    <n v="1240"/>
  </r>
  <r>
    <x v="2"/>
    <s v="Carlos Ruiz"/>
    <s v="Soporte Regulable Notebook"/>
    <n v="10"/>
    <s v="TRX-1067"/>
    <n v="8"/>
    <n v="3"/>
    <x v="1"/>
    <s v="TechImport S.R.L."/>
    <n v="58500"/>
    <n v="36000"/>
    <n v="22500"/>
    <n v="1170"/>
  </r>
  <r>
    <x v="1"/>
    <s v="Carlos Ruiz"/>
    <s v="Shampoo Canino Neutro 500Ml"/>
    <n v="8"/>
    <s v="TRX-1068"/>
    <n v="8"/>
    <n v="8"/>
    <x v="3"/>
    <s v="PetStyle Litoral"/>
    <n v="49600"/>
    <n v="30400"/>
    <n v="19200"/>
    <n v="992"/>
  </r>
  <r>
    <x v="3"/>
    <s v="Ana Martinez"/>
    <s v="Mouse Inalámbrico Ergonómico"/>
    <n v="10"/>
    <s v="TRX-1069"/>
    <n v="8"/>
    <n v="4"/>
    <x v="1"/>
    <s v="TechImport S.R.L."/>
    <n v="60000"/>
    <n v="38000"/>
    <n v="22000"/>
    <n v="1200"/>
  </r>
  <r>
    <x v="0"/>
    <s v="Carlos Ruiz"/>
    <s v="Alimento Perro Adulto 15Kg"/>
    <n v="8"/>
    <s v="TRX-1070"/>
    <n v="8"/>
    <n v="4"/>
    <x v="3"/>
    <s v="NutriDog Arg"/>
    <n v="140000"/>
    <n v="96000"/>
    <n v="44000"/>
    <n v="8400"/>
  </r>
  <r>
    <x v="1"/>
    <s v="Carlos Ruiz"/>
    <s v="Mouse Inalámbrico Ergonómico"/>
    <n v="8"/>
    <s v="TRX-1071"/>
    <n v="8"/>
    <n v="25"/>
    <x v="1"/>
    <s v="TechImport S.R.L."/>
    <n v="375000"/>
    <n v="237500"/>
    <n v="137500"/>
    <n v="7500"/>
  </r>
  <r>
    <x v="2"/>
    <s v="Ana Martinez"/>
    <s v="Juguete Mordillo Goma"/>
    <n v="8"/>
    <s v="TRX-1072"/>
    <n v="8"/>
    <n v="15"/>
    <x v="3"/>
    <s v="PetStyle Litoral"/>
    <n v="72000"/>
    <n v="40500"/>
    <n v="31500"/>
    <n v="1440"/>
  </r>
  <r>
    <x v="3"/>
    <s v="Juan Perez"/>
    <s v="Yerba Mate Premium 1Kg"/>
    <n v="8"/>
    <s v="TRX-1073"/>
    <n v="8"/>
    <n v="9"/>
    <x v="2"/>
    <s v="Cooperativa Neike"/>
    <n v="34200"/>
    <n v="22500"/>
    <n v="11700"/>
    <n v="684"/>
  </r>
  <r>
    <x v="2"/>
    <s v="Juan Perez"/>
    <s v="Alimento Gato Castrado 10Kg"/>
    <n v="8"/>
    <s v="TRX-1074"/>
    <n v="8"/>
    <n v="8"/>
    <x v="3"/>
    <s v="NutriDog Arg"/>
    <n v="236000"/>
    <n v="160000"/>
    <n v="76000"/>
    <n v="9440"/>
  </r>
  <r>
    <x v="0"/>
    <s v="Juan Perez"/>
    <s v="Soporte Regulable Notebook"/>
    <n v="10"/>
    <s v="TRX-1075"/>
    <n v="8"/>
    <n v="5"/>
    <x v="1"/>
    <s v="TechImport S.R.L."/>
    <n v="97500"/>
    <n v="60000"/>
    <n v="37500"/>
    <n v="1950"/>
  </r>
  <r>
    <x v="2"/>
    <s v="Carlos Ruiz"/>
    <s v="Alimento Perro Adulto 15Kg"/>
    <n v="8"/>
    <s v="TRX-1076"/>
    <n v="8"/>
    <n v="14"/>
    <x v="3"/>
    <s v="NutriDog Arg"/>
    <n v="490000"/>
    <n v="336000"/>
    <n v="154000"/>
    <n v="19600"/>
  </r>
  <r>
    <x v="3"/>
    <s v="Carlos Ruiz"/>
    <s v="Termo Acero Inoxidable 1.3L"/>
    <n v="10"/>
    <s v="TRX-1077"/>
    <n v="8"/>
    <n v="1"/>
    <x v="0"/>
    <s v="Distribuidora del Nordeste"/>
    <n v="32000"/>
    <n v="21000"/>
    <n v="11000"/>
    <n v="1280"/>
  </r>
  <r>
    <x v="3"/>
    <s v="Carlos Ruiz"/>
    <s v="Café En Grano Intenso 1Kg"/>
    <n v="8"/>
    <s v="TRX-1078"/>
    <n v="8"/>
    <n v="24"/>
    <x v="2"/>
    <s v="Distribuidora del Nordeste"/>
    <n v="444000"/>
    <n v="300000"/>
    <n v="144000"/>
    <n v="8880"/>
  </r>
  <r>
    <x v="2"/>
    <s v="Carlos Ruiz"/>
    <s v="Shampoo Canino Neutro 500Ml"/>
    <n v="8"/>
    <s v="TRX-1079"/>
    <n v="8"/>
    <n v="13"/>
    <x v="3"/>
    <s v="PetStyle Litoral"/>
    <n v="80600"/>
    <n v="49400"/>
    <n v="31200"/>
    <n v="1612"/>
  </r>
  <r>
    <x v="3"/>
    <s v="Carlos Ruiz"/>
    <s v="Snack Premios Perro 250G"/>
    <n v="8"/>
    <s v="TRX-1080"/>
    <n v="8"/>
    <n v="20"/>
    <x v="3"/>
    <s v="NutriDog Arg"/>
    <n v="62000"/>
    <n v="36000"/>
    <n v="26000"/>
    <n v="1240"/>
  </r>
  <r>
    <x v="0"/>
    <s v="Juan Perez"/>
    <s v="Café En Grano Intenso 1Kg"/>
    <n v="8"/>
    <s v="TRX-1081"/>
    <n v="8"/>
    <n v="5"/>
    <x v="2"/>
    <s v="Distribuidora del Nordeste"/>
    <n v="92500"/>
    <n v="62500"/>
    <n v="30000"/>
    <n v="1850"/>
  </r>
  <r>
    <x v="0"/>
    <s v="Carlos Ruiz"/>
    <s v="Termo Acero Inoxidable 1.3L"/>
    <n v="8"/>
    <s v="TRX-1082"/>
    <n v="8"/>
    <n v="25"/>
    <x v="0"/>
    <s v="Distribuidora del Nordeste"/>
    <n v="800000"/>
    <n v="525000"/>
    <n v="275000"/>
    <n v="48000"/>
  </r>
  <r>
    <x v="0"/>
    <s v="Carlos Ruiz"/>
    <s v="Shampoo Canino Neutro 500Ml"/>
    <n v="8"/>
    <s v="TRX-1083"/>
    <n v="8"/>
    <n v="1"/>
    <x v="3"/>
    <s v="PetStyle Litoral"/>
    <n v="6200"/>
    <n v="3800"/>
    <n v="2400"/>
    <n v="124"/>
  </r>
  <r>
    <x v="0"/>
    <s v="Ana Martinez"/>
    <s v="Soporte Regulable Notebook"/>
    <n v="8"/>
    <s v="TRX-1084"/>
    <n v="8"/>
    <n v="2"/>
    <x v="1"/>
    <s v="TechImport S.R.L."/>
    <n v="39000"/>
    <n v="24000"/>
    <n v="15000"/>
    <n v="780"/>
  </r>
  <r>
    <x v="1"/>
    <s v="Juan Perez"/>
    <s v="Shampoo Canino Neutro 500Ml"/>
    <n v="8"/>
    <s v="TRX-1085"/>
    <n v="8"/>
    <n v="16"/>
    <x v="3"/>
    <s v="PetStyle Litoral"/>
    <n v="99200"/>
    <n v="60800"/>
    <n v="38400"/>
    <n v="1984"/>
  </r>
  <r>
    <x v="2"/>
    <s v="Ana Martinez"/>
    <s v="Mouse Inalámbrico Ergonómico"/>
    <n v="8"/>
    <s v="TRX-1086"/>
    <n v="8"/>
    <n v="20"/>
    <x v="1"/>
    <s v="TechImport S.R.L."/>
    <n v="300000"/>
    <n v="190000"/>
    <n v="110000"/>
    <n v="6000"/>
  </r>
  <r>
    <x v="0"/>
    <s v="Maria Gomez"/>
    <s v="Café En Grano Intenso 1Kg"/>
    <n v="8"/>
    <s v="TRX-1087"/>
    <n v="8"/>
    <n v="1"/>
    <x v="2"/>
    <s v="Distribuidora del Nordeste"/>
    <n v="18500"/>
    <n v="12500"/>
    <n v="6000"/>
    <n v="370"/>
  </r>
  <r>
    <x v="1"/>
    <s v="Juan Perez"/>
    <s v="Yerba Mate Premium 1Kg"/>
    <n v="8"/>
    <s v="TRX-1088"/>
    <n v="8"/>
    <n v="23"/>
    <x v="2"/>
    <s v="Cooperativa Neike"/>
    <n v="87400"/>
    <n v="57500"/>
    <n v="29900"/>
    <n v="1748"/>
  </r>
  <r>
    <x v="3"/>
    <s v="Ana Martinez"/>
    <s v="Shampoo Canino Neutro 500Ml"/>
    <n v="8"/>
    <s v="TRX-1089"/>
    <n v="8"/>
    <n v="4"/>
    <x v="3"/>
    <s v="PetStyle Litoral"/>
    <n v="24800"/>
    <n v="15200"/>
    <n v="9600"/>
    <n v="496"/>
  </r>
  <r>
    <x v="2"/>
    <s v="Ana Martinez"/>
    <s v="Termo Acero Inoxidable 1.3L"/>
    <n v="8"/>
    <s v="TRX-1090"/>
    <n v="8"/>
    <n v="17"/>
    <x v="0"/>
    <s v="Distribuidora del Nordeste"/>
    <n v="544000"/>
    <n v="357000"/>
    <n v="187000"/>
    <n v="21760"/>
  </r>
  <r>
    <x v="0"/>
    <s v="Carlos Ruiz"/>
    <s v="Auriculares Bluetooth Pro"/>
    <n v="8"/>
    <s v="TRX-1091"/>
    <n v="8"/>
    <n v="21"/>
    <x v="1"/>
    <s v="TechImport S.R.L."/>
    <n v="588000"/>
    <n v="378000"/>
    <n v="210000"/>
    <n v="35280"/>
  </r>
  <r>
    <x v="1"/>
    <s v="Carlos Ruiz"/>
    <s v="Auriculares Bluetooth Pro"/>
    <n v="8"/>
    <s v="TRX-1092"/>
    <n v="8"/>
    <n v="9"/>
    <x v="1"/>
    <s v="TechImport S.R.L."/>
    <n v="252000"/>
    <n v="162000"/>
    <n v="90000"/>
    <n v="10080"/>
  </r>
  <r>
    <x v="2"/>
    <s v="Ana Martinez"/>
    <s v="Teclado Mecánico Rgb"/>
    <n v="8"/>
    <s v="TRX-1093"/>
    <n v="8"/>
    <n v="9"/>
    <x v="1"/>
    <s v="TechImport S.R.L."/>
    <n v="405000"/>
    <n v="270000"/>
    <n v="135000"/>
    <n v="16200"/>
  </r>
  <r>
    <x v="2"/>
    <s v="Juan Perez"/>
    <s v="Café En Grano Intenso 1Kg"/>
    <n v="8"/>
    <s v="TRX-1094"/>
    <n v="8"/>
    <n v="19"/>
    <x v="2"/>
    <s v="Distribuidora del Nordeste"/>
    <n v="351500"/>
    <n v="237500"/>
    <n v="114000"/>
    <n v="7030"/>
  </r>
  <r>
    <x v="2"/>
    <s v="Juan Perez"/>
    <s v="Mouse Inalámbrico Ergonómico"/>
    <n v="8"/>
    <s v="TRX-1095"/>
    <n v="8"/>
    <n v="12"/>
    <x v="1"/>
    <s v="TechImport S.R.L."/>
    <n v="180000"/>
    <n v="114000"/>
    <n v="66000"/>
    <n v="3600"/>
  </r>
  <r>
    <x v="2"/>
    <s v="Carlos Ruiz"/>
    <s v="Soporte Regulable Notebook"/>
    <n v="8"/>
    <s v="TRX-1096"/>
    <n v="8"/>
    <n v="1"/>
    <x v="1"/>
    <s v="TechImport S.R.L."/>
    <n v="19500"/>
    <n v="12000"/>
    <n v="7500"/>
    <n v="390"/>
  </r>
  <r>
    <x v="1"/>
    <s v="Ana Martinez"/>
    <s v="Cargador Rápido Usb-C 65W"/>
    <n v="8"/>
    <s v="TRX-1097"/>
    <n v="8"/>
    <n v="16"/>
    <x v="1"/>
    <s v="TechImport S.R.L."/>
    <n v="352000"/>
    <n v="224000"/>
    <n v="128000"/>
    <n v="7040"/>
  </r>
  <r>
    <x v="0"/>
    <s v="Carlos Ruiz"/>
    <s v="Café En Grano Intenso 1Kg"/>
    <n v="10"/>
    <s v="TRX-1098"/>
    <n v="8"/>
    <n v="10"/>
    <x v="2"/>
    <s v="Distribuidora del Nordeste"/>
    <n v="185000"/>
    <n v="125000"/>
    <n v="60000"/>
    <n v="3700"/>
  </r>
  <r>
    <x v="2"/>
    <s v="Ana Martinez"/>
    <s v="Soporte Regulable Notebook"/>
    <n v="8"/>
    <s v="TRX-1099"/>
    <n v="8"/>
    <n v="12"/>
    <x v="1"/>
    <s v="TechImport S.R.L."/>
    <n v="234000"/>
    <n v="144000"/>
    <n v="90000"/>
    <n v="4680"/>
  </r>
  <r>
    <x v="1"/>
    <s v="Juan Perez"/>
    <s v="Yerba Mate Premium 1Kg"/>
    <n v="8"/>
    <s v="TRX-1100"/>
    <n v="8"/>
    <n v="24"/>
    <x v="2"/>
    <s v="Cooperativa Neike"/>
    <n v="91200"/>
    <n v="60000"/>
    <n v="31200"/>
    <n v="1824"/>
  </r>
  <r>
    <x v="1"/>
    <s v="Carlos Ruiz"/>
    <s v="Mouse Inalámbrico Ergonómico"/>
    <n v="8"/>
    <s v="TRX-1101"/>
    <n v="8"/>
    <n v="19"/>
    <x v="1"/>
    <s v="TechImport S.R.L."/>
    <n v="285000"/>
    <n v="180500"/>
    <n v="104500"/>
    <n v="5700"/>
  </r>
  <r>
    <x v="3"/>
    <s v="Juan Perez"/>
    <s v="Auriculares Bluetooth Pro"/>
    <n v="8"/>
    <s v="TRX-1102"/>
    <n v="8"/>
    <n v="12"/>
    <x v="1"/>
    <s v="TechImport S.R.L."/>
    <n v="336000"/>
    <n v="216000"/>
    <n v="120000"/>
    <n v="13440"/>
  </r>
  <r>
    <x v="0"/>
    <s v="Juan Perez"/>
    <s v="Teclado Mecánico Rgb"/>
    <n v="8"/>
    <s v="TRX-1103"/>
    <n v="8"/>
    <n v="23"/>
    <x v="1"/>
    <s v="TechImport S.R.L."/>
    <n v="1035000"/>
    <n v="690000"/>
    <n v="345000"/>
    <n v="62100"/>
  </r>
  <r>
    <x v="3"/>
    <s v="Juan Perez"/>
    <s v="Auriculares Bluetooth Pro"/>
    <n v="8"/>
    <s v="TRX-1104"/>
    <n v="8"/>
    <n v="16"/>
    <x v="1"/>
    <s v="TechImport S.R.L."/>
    <n v="448000"/>
    <n v="288000"/>
    <n v="160000"/>
    <n v="17920"/>
  </r>
  <r>
    <x v="3"/>
    <s v="Carlos Ruiz"/>
    <s v="Snack Premios Perro 250G"/>
    <n v="8"/>
    <s v="TRX-1105"/>
    <n v="8"/>
    <n v="3"/>
    <x v="3"/>
    <s v="NutriDog Arg"/>
    <n v="9300"/>
    <n v="5400"/>
    <n v="3900"/>
    <n v="186"/>
  </r>
  <r>
    <x v="0"/>
    <s v="Juan Perez"/>
    <s v="Snack Premios Perro 250G"/>
    <n v="8"/>
    <s v="TRX-1106"/>
    <n v="8"/>
    <n v="10"/>
    <x v="3"/>
    <s v="NutriDog Arg"/>
    <n v="31000"/>
    <n v="18000"/>
    <n v="13000"/>
    <n v="620"/>
  </r>
  <r>
    <x v="3"/>
    <s v="Carlos Ruiz"/>
    <s v="Correa Reforzada Canina 3M"/>
    <n v="8"/>
    <s v="TRX-1107"/>
    <n v="8"/>
    <n v="20"/>
    <x v="3"/>
    <s v="PetStyle Litoral"/>
    <n v="184000"/>
    <n v="110000"/>
    <n v="74000"/>
    <n v="3680"/>
  </r>
  <r>
    <x v="2"/>
    <s v="Ana Martinez"/>
    <s v="Soporte Regulable Notebook"/>
    <n v="8"/>
    <s v="TRX-1108"/>
    <n v="8"/>
    <n v="14"/>
    <x v="1"/>
    <s v="TechImport S.R.L."/>
    <n v="273000"/>
    <n v="168000"/>
    <n v="105000"/>
    <n v="5460"/>
  </r>
  <r>
    <x v="0"/>
    <s v="Ana Martinez"/>
    <s v="Shampoo Canino Neutro 500Ml"/>
    <n v="8"/>
    <s v="TRX-1109"/>
    <n v="8"/>
    <n v="7"/>
    <x v="3"/>
    <s v="PetStyle Litoral"/>
    <n v="43400"/>
    <n v="26600"/>
    <n v="16800"/>
    <n v="868"/>
  </r>
  <r>
    <x v="0"/>
    <s v="Juan Perez"/>
    <s v="Mates De Madera Calada"/>
    <n v="8"/>
    <s v="TRX-1110"/>
    <n v="8"/>
    <n v="1"/>
    <x v="0"/>
    <s v="Artesanías Guaraníes"/>
    <n v="8500"/>
    <n v="4800"/>
    <n v="3700"/>
    <n v="170"/>
  </r>
  <r>
    <x v="2"/>
    <s v="Ana Martinez"/>
    <s v="Juguete Mordillo Goma"/>
    <n v="10"/>
    <s v="TRX-1111"/>
    <n v="8"/>
    <n v="15"/>
    <x v="3"/>
    <s v="PetStyle Litoral"/>
    <n v="72000"/>
    <n v="40500"/>
    <n v="31500"/>
    <n v="1440"/>
  </r>
  <r>
    <x v="3"/>
    <s v="Ana Martinez"/>
    <s v="Alimento Gato Castrado 10Kg"/>
    <n v="8"/>
    <s v="TRX-1112"/>
    <n v="8"/>
    <n v="22"/>
    <x v="3"/>
    <s v="NutriDog Arg"/>
    <n v="649000"/>
    <n v="440000"/>
    <n v="209000"/>
    <n v="25960"/>
  </r>
  <r>
    <x v="1"/>
    <s v="Juan Perez"/>
    <s v="Termo Acero Inoxidable 1.3L"/>
    <n v="8"/>
    <s v="TRX-1113"/>
    <n v="8"/>
    <n v="5"/>
    <x v="0"/>
    <s v="Distribuidora del Nordeste"/>
    <n v="160000"/>
    <n v="105000"/>
    <n v="55000"/>
    <n v="6400"/>
  </r>
  <r>
    <x v="1"/>
    <s v="Ana Martinez"/>
    <s v="Snack Premios Perro 250G"/>
    <n v="8"/>
    <s v="TRX-1114"/>
    <n v="8"/>
    <n v="10"/>
    <x v="3"/>
    <s v="NutriDog Arg"/>
    <n v="31000"/>
    <n v="18000"/>
    <n v="13000"/>
    <n v="620"/>
  </r>
  <r>
    <x v="2"/>
    <s v="Carlos Ruiz"/>
    <s v="Snack Premios Perro 250G"/>
    <n v="8"/>
    <s v="TRX-1115"/>
    <n v="8"/>
    <n v="15"/>
    <x v="3"/>
    <s v="NutriDog Arg"/>
    <n v="46500"/>
    <n v="27000"/>
    <n v="19500"/>
    <n v="930"/>
  </r>
  <r>
    <x v="1"/>
    <s v="Maria Gomez"/>
    <s v="Juguete Mordillo Goma"/>
    <n v="8"/>
    <s v="TRX-1116"/>
    <n v="8"/>
    <n v="1"/>
    <x v="3"/>
    <s v="PetStyle Litoral"/>
    <n v="4800"/>
    <n v="2700"/>
    <n v="2100"/>
    <n v="96"/>
  </r>
  <r>
    <x v="1"/>
    <s v="Carlos Ruiz"/>
    <s v="Juguete Mordillo Goma"/>
    <n v="8"/>
    <s v="TRX-1117"/>
    <n v="8"/>
    <n v="25"/>
    <x v="3"/>
    <s v="PetStyle Litoral"/>
    <n v="120000"/>
    <n v="67500"/>
    <n v="52500"/>
    <n v="2400"/>
  </r>
  <r>
    <x v="0"/>
    <s v="Carlos Ruiz"/>
    <s v="Yerba Mate Premium 1Kg"/>
    <n v="8"/>
    <s v="TRX-1118"/>
    <n v="8"/>
    <n v="15"/>
    <x v="2"/>
    <s v="Cooperativa Neike"/>
    <n v="57000"/>
    <n v="37500"/>
    <n v="19500"/>
    <n v="1140"/>
  </r>
  <r>
    <x v="3"/>
    <s v="Carlos Ruiz"/>
    <s v="Teclado Mecánico Rgb"/>
    <n v="8"/>
    <s v="TRX-1119"/>
    <n v="8"/>
    <n v="16"/>
    <x v="1"/>
    <s v="TechImport S.R.L."/>
    <n v="720000"/>
    <n v="480000"/>
    <n v="240000"/>
    <n v="28800"/>
  </r>
  <r>
    <x v="0"/>
    <s v="Maria Gomez"/>
    <s v="Juguete Mordillo Goma"/>
    <n v="8"/>
    <s v="TRX-1120"/>
    <n v="8"/>
    <n v="16"/>
    <x v="3"/>
    <s v="PetStyle Litoral"/>
    <n v="76800"/>
    <n v="43200"/>
    <n v="33600"/>
    <n v="1536"/>
  </r>
  <r>
    <x v="2"/>
    <s v="Juan Perez"/>
    <s v="Shampoo Canino Neutro 500Ml"/>
    <n v="8"/>
    <s v="TRX-1121"/>
    <n v="8"/>
    <n v="11"/>
    <x v="3"/>
    <s v="PetStyle Litoral"/>
    <n v="68200"/>
    <n v="41800"/>
    <n v="26400"/>
    <n v="1364"/>
  </r>
  <r>
    <x v="1"/>
    <s v="Ana Martinez"/>
    <s v="Cargador Rápido Usb-C 65W"/>
    <n v="8"/>
    <s v="TRX-1122"/>
    <n v="8"/>
    <n v="22"/>
    <x v="1"/>
    <s v="TechImport S.R.L."/>
    <n v="484000"/>
    <n v="308000"/>
    <n v="176000"/>
    <n v="9680"/>
  </r>
  <r>
    <x v="2"/>
    <s v="Carlos Ruiz"/>
    <s v="Mates De Madera Calada"/>
    <n v="8"/>
    <s v="TRX-1123"/>
    <n v="8"/>
    <n v="21"/>
    <x v="0"/>
    <s v="Artesanías Guaraníes"/>
    <n v="178500"/>
    <n v="100800"/>
    <n v="77700"/>
    <n v="3570"/>
  </r>
  <r>
    <x v="2"/>
    <s v="Carlos Ruiz"/>
    <s v="Correa Reforzada Canina 3M"/>
    <n v="8"/>
    <s v="TRX-1124"/>
    <n v="8"/>
    <n v="16"/>
    <x v="3"/>
    <s v="PetStyle Litoral"/>
    <n v="147200"/>
    <n v="88000"/>
    <n v="59200"/>
    <n v="2944"/>
  </r>
  <r>
    <x v="0"/>
    <s v="Ana Martinez"/>
    <s v="Mouse Inalámbrico Ergonómico"/>
    <n v="8"/>
    <s v="TRX-1125"/>
    <n v="8"/>
    <n v="18"/>
    <x v="1"/>
    <s v="TechImport S.R.L."/>
    <n v="270000"/>
    <n v="171000"/>
    <n v="99000"/>
    <n v="5400"/>
  </r>
  <r>
    <x v="3"/>
    <s v="Juan Perez"/>
    <s v="Mouse Inalámbrico Ergonómico"/>
    <n v="10"/>
    <s v="TRX-1126"/>
    <n v="8"/>
    <n v="4"/>
    <x v="1"/>
    <s v="TechImport S.R.L."/>
    <n v="60000"/>
    <n v="38000"/>
    <n v="22000"/>
    <n v="1200"/>
  </r>
  <r>
    <x v="1"/>
    <s v="Maria Gomez"/>
    <s v="Soporte Regulable Notebook"/>
    <n v="8"/>
    <s v="TRX-1127"/>
    <n v="8"/>
    <n v="16"/>
    <x v="1"/>
    <s v="TechImport S.R.L."/>
    <n v="312000"/>
    <n v="192000"/>
    <n v="120000"/>
    <n v="6240"/>
  </r>
  <r>
    <x v="0"/>
    <s v="Carlos Ruiz"/>
    <s v="Alimento Perro Adulto 15Kg"/>
    <n v="8"/>
    <s v="TRX-1128"/>
    <n v="8"/>
    <n v="5"/>
    <x v="3"/>
    <s v="NutriDog Arg"/>
    <n v="175000"/>
    <n v="120000"/>
    <n v="55000"/>
    <n v="10500"/>
  </r>
  <r>
    <x v="3"/>
    <s v="Carlos Ruiz"/>
    <s v="Cargador Rápido Usb-C 65W"/>
    <n v="8"/>
    <s v="TRX-1129"/>
    <n v="8"/>
    <n v="1"/>
    <x v="1"/>
    <s v="TechImport S.R.L."/>
    <n v="22000"/>
    <n v="14000"/>
    <n v="8000"/>
    <n v="440"/>
  </r>
  <r>
    <x v="1"/>
    <s v="Carlos Ruiz"/>
    <s v="Snack Premios Perro 250G"/>
    <n v="8"/>
    <s v="TRX-1130"/>
    <n v="8"/>
    <n v="15"/>
    <x v="3"/>
    <s v="NutriDog Arg"/>
    <n v="46500"/>
    <n v="27000"/>
    <n v="19500"/>
    <n v="930"/>
  </r>
  <r>
    <x v="2"/>
    <s v="Carlos Ruiz"/>
    <s v="Correa Reforzada Canina 3M"/>
    <n v="8"/>
    <s v="TRX-1131"/>
    <n v="8"/>
    <n v="7"/>
    <x v="3"/>
    <s v="PetStyle Litoral"/>
    <n v="64400"/>
    <n v="38500"/>
    <n v="25900"/>
    <n v="1288"/>
  </r>
  <r>
    <x v="3"/>
    <s v="Carlos Ruiz"/>
    <s v="Correa Reforzada Canina 3M"/>
    <n v="8"/>
    <s v="TRX-1132"/>
    <n v="8"/>
    <n v="24"/>
    <x v="3"/>
    <s v="PetStyle Litoral"/>
    <n v="220800"/>
    <n v="132000"/>
    <n v="88800"/>
    <n v="4416"/>
  </r>
  <r>
    <x v="1"/>
    <s v="Ana Martinez"/>
    <s v="Teclado Mecánico Rgb"/>
    <n v="8"/>
    <s v="TRX-1133"/>
    <n v="8"/>
    <n v="5"/>
    <x v="1"/>
    <s v="TechImport S.R.L."/>
    <n v="225000"/>
    <n v="150000"/>
    <n v="75000"/>
    <n v="9000"/>
  </r>
  <r>
    <x v="2"/>
    <s v="Ana Martinez"/>
    <s v="Café En Grano Intenso 1Kg"/>
    <n v="8"/>
    <s v="TRX-1134"/>
    <n v="8"/>
    <n v="15"/>
    <x v="2"/>
    <s v="Distribuidora del Nordeste"/>
    <n v="277500"/>
    <n v="187500"/>
    <n v="90000"/>
    <n v="5550"/>
  </r>
  <r>
    <x v="0"/>
    <s v="Carlos Ruiz"/>
    <s v="Soporte Regulable Notebook"/>
    <n v="10"/>
    <s v="TRX-1135"/>
    <n v="8"/>
    <n v="5"/>
    <x v="1"/>
    <s v="TechImport S.R.L."/>
    <n v="97500"/>
    <n v="60000"/>
    <n v="37500"/>
    <n v="1950"/>
  </r>
  <r>
    <x v="1"/>
    <s v="Carlos Ruiz"/>
    <s v="Auriculares Bluetooth Pro"/>
    <n v="8"/>
    <s v="TRX-1136"/>
    <n v="8"/>
    <n v="11"/>
    <x v="1"/>
    <s v="TechImport S.R.L."/>
    <n v="308000"/>
    <n v="198000"/>
    <n v="110000"/>
    <n v="12320"/>
  </r>
  <r>
    <x v="1"/>
    <s v="Ana Martinez"/>
    <s v="Yerba Mate Premium 1Kg"/>
    <n v="8"/>
    <s v="TRX-1137"/>
    <n v="8"/>
    <n v="16"/>
    <x v="2"/>
    <s v="Cooperativa Neike"/>
    <n v="60800"/>
    <n v="40000"/>
    <n v="20800"/>
    <n v="1216"/>
  </r>
  <r>
    <x v="1"/>
    <s v="Maria Gomez"/>
    <s v="Café En Grano Intenso 1Kg"/>
    <n v="8"/>
    <s v="TRX-1138"/>
    <n v="8"/>
    <n v="24"/>
    <x v="2"/>
    <s v="Distribuidora del Nordeste"/>
    <n v="444000"/>
    <n v="300000"/>
    <n v="144000"/>
    <n v="8880"/>
  </r>
  <r>
    <x v="1"/>
    <s v="Ana Martinez"/>
    <s v="Teclado Mecánico Rgb"/>
    <n v="8"/>
    <s v="TRX-1139"/>
    <n v="8"/>
    <n v="6"/>
    <x v="1"/>
    <s v="TechImport S.R.L."/>
    <n v="270000"/>
    <n v="180000"/>
    <n v="90000"/>
    <n v="10800"/>
  </r>
  <r>
    <x v="0"/>
    <s v="Maria Gomez"/>
    <s v="Mates De Madera Calada"/>
    <n v="8"/>
    <s v="TRX-1140"/>
    <n v="8"/>
    <n v="14"/>
    <x v="0"/>
    <s v="Artesanías Guaraníes"/>
    <n v="119000"/>
    <n v="67200"/>
    <n v="51800"/>
    <n v="2380"/>
  </r>
  <r>
    <x v="1"/>
    <s v="Ana Martinez"/>
    <s v="Shampoo Canino Neutro 500Ml"/>
    <n v="8"/>
    <s v="TRX-1141"/>
    <n v="8"/>
    <n v="6"/>
    <x v="3"/>
    <s v="PetStyle Litoral"/>
    <n v="37200"/>
    <n v="22800"/>
    <n v="14400"/>
    <n v="744"/>
  </r>
  <r>
    <x v="0"/>
    <s v="Carlos Ruiz"/>
    <s v="Juguete Mordillo Goma"/>
    <n v="8"/>
    <s v="TRX-1142"/>
    <n v="8"/>
    <n v="5"/>
    <x v="3"/>
    <s v="PetStyle Litoral"/>
    <n v="24000"/>
    <n v="13500"/>
    <n v="10500"/>
    <n v="480"/>
  </r>
  <r>
    <x v="0"/>
    <s v="Ana Martinez"/>
    <s v="Mates De Madera Calada"/>
    <n v="8"/>
    <s v="TRX-1143"/>
    <n v="8"/>
    <n v="10"/>
    <x v="0"/>
    <s v="Artesanías Guaraníes"/>
    <n v="85000"/>
    <n v="48000"/>
    <n v="37000"/>
    <n v="1700"/>
  </r>
  <r>
    <x v="1"/>
    <s v="Maria Gomez"/>
    <s v="Shampoo Canino Neutro 500Ml"/>
    <n v="8"/>
    <s v="TRX-1144"/>
    <n v="8"/>
    <n v="14"/>
    <x v="3"/>
    <s v="PetStyle Litoral"/>
    <n v="86800"/>
    <n v="53200"/>
    <n v="33600"/>
    <n v="1736"/>
  </r>
  <r>
    <x v="2"/>
    <s v="Ana Martinez"/>
    <s v="Juguete Mordillo Goma"/>
    <n v="8"/>
    <s v="TRX-1145"/>
    <n v="8"/>
    <n v="8"/>
    <x v="3"/>
    <s v="PetStyle Litoral"/>
    <n v="38400"/>
    <n v="21600"/>
    <n v="16800"/>
    <n v="768"/>
  </r>
  <r>
    <x v="2"/>
    <s v="Juan Perez"/>
    <s v="Yerba Mate Premium 1Kg"/>
    <n v="8"/>
    <s v="TRX-1146"/>
    <n v="8"/>
    <n v="22"/>
    <x v="2"/>
    <s v="Cooperativa Neike"/>
    <n v="83600"/>
    <n v="55000"/>
    <n v="28600"/>
    <n v="1672"/>
  </r>
  <r>
    <x v="0"/>
    <s v="Carlos Ruiz"/>
    <s v="Soporte Regulable Notebook"/>
    <n v="8"/>
    <s v="TRX-1147"/>
    <n v="8"/>
    <n v="10"/>
    <x v="1"/>
    <s v="TechImport S.R.L."/>
    <n v="195000"/>
    <n v="120000"/>
    <n v="75000"/>
    <n v="3900"/>
  </r>
  <r>
    <x v="0"/>
    <s v="Carlos Ruiz"/>
    <s v="Correa Reforzada Canina 3M"/>
    <n v="8"/>
    <s v="TRX-1148"/>
    <n v="8"/>
    <n v="25"/>
    <x v="3"/>
    <s v="PetStyle Litoral"/>
    <n v="230000"/>
    <n v="137500"/>
    <n v="92500"/>
    <n v="4600"/>
  </r>
  <r>
    <x v="1"/>
    <s v="Ana Martinez"/>
    <s v="Juguete Mordillo Goma"/>
    <n v="8"/>
    <s v="TRX-1149"/>
    <n v="8"/>
    <n v="15"/>
    <x v="3"/>
    <s v="PetStyle Litoral"/>
    <n v="72000"/>
    <n v="40500"/>
    <n v="31500"/>
    <n v="1440"/>
  </r>
  <r>
    <x v="0"/>
    <s v="Maria Gomez"/>
    <s v="Teclado Mecánico Rgb"/>
    <n v="8"/>
    <s v="TRX-1150"/>
    <n v="8"/>
    <n v="14"/>
    <x v="1"/>
    <s v="TechImport S.R.L."/>
    <n v="630000"/>
    <n v="420000"/>
    <n v="210000"/>
    <n v="37800"/>
  </r>
  <r>
    <x v="2"/>
    <s v="Carlos Ruiz"/>
    <s v="Teclado Mecánico Rgb"/>
    <n v="8"/>
    <s v="TRX-1151"/>
    <n v="8"/>
    <n v="9"/>
    <x v="1"/>
    <s v="TechImport S.R.L."/>
    <n v="405000"/>
    <n v="270000"/>
    <n v="135000"/>
    <n v="16200"/>
  </r>
  <r>
    <x v="2"/>
    <s v="Ana Martinez"/>
    <s v="Mouse Inalámbrico Ergonómico"/>
    <n v="8"/>
    <s v="TRX-1152"/>
    <n v="8"/>
    <n v="4"/>
    <x v="1"/>
    <s v="TechImport S.R.L."/>
    <n v="60000"/>
    <n v="38000"/>
    <n v="22000"/>
    <n v="1200"/>
  </r>
  <r>
    <x v="3"/>
    <s v="Ana Martinez"/>
    <s v="Café En Grano Intenso 1Kg"/>
    <n v="8"/>
    <s v="TRX-1153"/>
    <n v="8"/>
    <n v="13"/>
    <x v="2"/>
    <s v="Distribuidora del Nordeste"/>
    <n v="240500"/>
    <n v="162500"/>
    <n v="78000"/>
    <n v="4810"/>
  </r>
  <r>
    <x v="2"/>
    <s v="Juan Perez"/>
    <s v="Mouse Inalámbrico Ergonómico"/>
    <n v="10"/>
    <s v="TRX-1154"/>
    <n v="8"/>
    <n v="4"/>
    <x v="1"/>
    <s v="TechImport S.R.L."/>
    <n v="60000"/>
    <n v="38000"/>
    <n v="22000"/>
    <n v="1200"/>
  </r>
  <r>
    <x v="2"/>
    <s v="Ana Martinez"/>
    <s v="Café En Grano Intenso 1Kg"/>
    <n v="8"/>
    <s v="TRX-1155"/>
    <n v="8"/>
    <n v="12"/>
    <x v="2"/>
    <s v="Distribuidora del Nordeste"/>
    <n v="222000"/>
    <n v="150000"/>
    <n v="72000"/>
    <n v="4440"/>
  </r>
  <r>
    <x v="1"/>
    <s v="Carlos Ruiz"/>
    <s v="Cargador Rápido Usb-C 65W"/>
    <n v="8"/>
    <s v="TRX-1156"/>
    <n v="8"/>
    <n v="20"/>
    <x v="1"/>
    <s v="TechImport S.R.L."/>
    <n v="440000"/>
    <n v="280000"/>
    <n v="160000"/>
    <n v="8800"/>
  </r>
  <r>
    <x v="2"/>
    <s v="Ana Martinez"/>
    <s v="Mouse Inalámbrico Ergonómico"/>
    <n v="8"/>
    <s v="TRX-1157"/>
    <n v="8"/>
    <n v="5"/>
    <x v="1"/>
    <s v="TechImport S.R.L."/>
    <n v="75000"/>
    <n v="47500"/>
    <n v="27500"/>
    <n v="1500"/>
  </r>
  <r>
    <x v="2"/>
    <s v="Juan Perez"/>
    <s v="Auriculares Bluetooth Pro"/>
    <n v="8"/>
    <s v="TRX-1158"/>
    <n v="8"/>
    <n v="18"/>
    <x v="1"/>
    <s v="TechImport S.R.L."/>
    <n v="504000"/>
    <n v="324000"/>
    <n v="180000"/>
    <n v="20160"/>
  </r>
  <r>
    <x v="1"/>
    <s v="Ana Martinez"/>
    <s v="Auriculares Bluetooth Pro"/>
    <n v="8"/>
    <s v="TRX-1159"/>
    <n v="8"/>
    <n v="14"/>
    <x v="1"/>
    <s v="TechImport S.R.L."/>
    <n v="392000"/>
    <n v="252000"/>
    <n v="140000"/>
    <n v="15680"/>
  </r>
  <r>
    <x v="3"/>
    <s v="Carlos Ruiz"/>
    <s v="Soporte Regulable Notebook"/>
    <n v="8"/>
    <s v="TRX-1160"/>
    <n v="8"/>
    <n v="9"/>
    <x v="1"/>
    <s v="TechImport S.R.L."/>
    <n v="175500"/>
    <n v="108000"/>
    <n v="67500"/>
    <n v="3510"/>
  </r>
  <r>
    <x v="2"/>
    <s v="Juan Perez"/>
    <s v="Shampoo Canino Neutro 500Ml"/>
    <n v="8"/>
    <s v="TRX-1161"/>
    <n v="8"/>
    <n v="4"/>
    <x v="3"/>
    <s v="PetStyle Litoral"/>
    <n v="24800"/>
    <n v="15200"/>
    <n v="9600"/>
    <n v="496"/>
  </r>
  <r>
    <x v="2"/>
    <s v="Maria Gomez"/>
    <s v="Café En Grano Intenso 1Kg"/>
    <n v="8"/>
    <s v="TRX-1162"/>
    <n v="8"/>
    <n v="4"/>
    <x v="2"/>
    <s v="Distribuidora del Nordeste"/>
    <n v="74000"/>
    <n v="50000"/>
    <n v="24000"/>
    <n v="1480"/>
  </r>
  <r>
    <x v="1"/>
    <s v="Ana Martinez"/>
    <s v="Yerba Mate Premium 1Kg"/>
    <n v="8"/>
    <s v="TRX-1163"/>
    <n v="8"/>
    <n v="1"/>
    <x v="2"/>
    <s v="Cooperativa Neike"/>
    <n v="3800"/>
    <n v="2500"/>
    <n v="1300"/>
    <n v="76"/>
  </r>
  <r>
    <x v="0"/>
    <s v="Ana Martinez"/>
    <s v="Mouse Inalámbrico Ergonómico"/>
    <n v="8"/>
    <s v="TRX-1164"/>
    <n v="8"/>
    <n v="3"/>
    <x v="1"/>
    <s v="TechImport S.R.L."/>
    <n v="45000"/>
    <n v="28500"/>
    <n v="16500"/>
    <n v="900"/>
  </r>
  <r>
    <x v="3"/>
    <s v="Juan Perez"/>
    <s v="Café En Grano Intenso 1Kg"/>
    <n v="8"/>
    <s v="TRX-1165"/>
    <n v="8"/>
    <n v="5"/>
    <x v="2"/>
    <s v="Distribuidora del Nordeste"/>
    <n v="92500"/>
    <n v="62500"/>
    <n v="30000"/>
    <n v="1850"/>
  </r>
  <r>
    <x v="0"/>
    <s v="Juan Perez"/>
    <s v="Café En Grano Intenso 1Kg"/>
    <n v="8"/>
    <s v="TRX-1166"/>
    <n v="8"/>
    <n v="6"/>
    <x v="2"/>
    <s v="Distribuidora del Nordeste"/>
    <n v="111000"/>
    <n v="75000"/>
    <n v="36000"/>
    <n v="2220"/>
  </r>
  <r>
    <x v="2"/>
    <s v="Ana Martinez"/>
    <s v="Teclado Mecánico Rgb"/>
    <n v="8"/>
    <s v="TRX-1167"/>
    <n v="8"/>
    <n v="19"/>
    <x v="1"/>
    <s v="TechImport S.R.L."/>
    <n v="855000"/>
    <n v="570000"/>
    <n v="285000"/>
    <n v="34200"/>
  </r>
  <r>
    <x v="2"/>
    <s v="Carlos Ruiz"/>
    <s v="Juguete Mordillo Goma"/>
    <n v="8"/>
    <s v="TRX-1168"/>
    <n v="8"/>
    <n v="3"/>
    <x v="3"/>
    <s v="PetStyle Litoral"/>
    <n v="14400"/>
    <n v="8100"/>
    <n v="6300"/>
    <n v="288"/>
  </r>
  <r>
    <x v="2"/>
    <s v="Carlos Ruiz"/>
    <s v="Termo Acero Inoxidable 1.3L"/>
    <n v="8"/>
    <s v="TRX-1169"/>
    <n v="8"/>
    <n v="20"/>
    <x v="0"/>
    <s v="Distribuidora del Nordeste"/>
    <n v="640000"/>
    <n v="420000"/>
    <n v="220000"/>
    <n v="25600"/>
  </r>
  <r>
    <x v="2"/>
    <s v="Ana Martinez"/>
    <s v="Auriculares Bluetooth Pro"/>
    <n v="8"/>
    <s v="TRX-1170"/>
    <n v="8"/>
    <n v="2"/>
    <x v="1"/>
    <s v="TechImport S.R.L."/>
    <n v="56000"/>
    <n v="36000"/>
    <n v="20000"/>
    <n v="2240"/>
  </r>
  <r>
    <x v="2"/>
    <s v="Ana Martinez"/>
    <s v="Teclado Mecánico Rgb"/>
    <n v="8"/>
    <s v="TRX-1171"/>
    <n v="8"/>
    <n v="3"/>
    <x v="1"/>
    <s v="TechImport S.R.L."/>
    <n v="135000"/>
    <n v="90000"/>
    <n v="45000"/>
    <n v="5400"/>
  </r>
  <r>
    <x v="2"/>
    <s v="Carlos Ruiz"/>
    <s v="Yerba Mate Premium 1Kg"/>
    <n v="10"/>
    <s v="TRX-1172"/>
    <n v="8"/>
    <n v="18"/>
    <x v="2"/>
    <s v="Cooperativa Neike"/>
    <n v="68400"/>
    <n v="45000"/>
    <n v="23400"/>
    <n v="1368"/>
  </r>
  <r>
    <x v="2"/>
    <s v="Carlos Ruiz"/>
    <s v="Termo Acero Inoxidable 1.3L"/>
    <n v="8"/>
    <s v="TRX-1173"/>
    <n v="8"/>
    <n v="4"/>
    <x v="0"/>
    <s v="Distribuidora del Nordeste"/>
    <n v="128000"/>
    <n v="84000"/>
    <n v="44000"/>
    <n v="5120"/>
  </r>
  <r>
    <x v="3"/>
    <s v="Carlos Ruiz"/>
    <s v="Yerba Mate Premium 1Kg"/>
    <n v="8"/>
    <s v="TRX-1174"/>
    <n v="8"/>
    <n v="7"/>
    <x v="2"/>
    <s v="Cooperativa Neike"/>
    <n v="26600"/>
    <n v="17500"/>
    <n v="9100"/>
    <n v="532"/>
  </r>
  <r>
    <x v="2"/>
    <s v="Carlos Ruiz"/>
    <s v="Shampoo Canino Neutro 500Ml"/>
    <n v="8"/>
    <s v="TRX-1175"/>
    <n v="8"/>
    <n v="4"/>
    <x v="3"/>
    <s v="PetStyle Litoral"/>
    <n v="24800"/>
    <n v="15200"/>
    <n v="9600"/>
    <n v="496"/>
  </r>
  <r>
    <x v="0"/>
    <s v="Ana Martinez"/>
    <s v="Mates De Madera Calada"/>
    <n v="8"/>
    <s v="TRX-1176"/>
    <n v="8"/>
    <n v="3"/>
    <x v="0"/>
    <s v="Artesanías Guaraníes"/>
    <n v="25500"/>
    <n v="14400"/>
    <n v="11100"/>
    <n v="510"/>
  </r>
  <r>
    <x v="0"/>
    <s v="Ana Martinez"/>
    <s v="Yerba Mate Premium 1Kg"/>
    <n v="10"/>
    <s v="TRX-1177"/>
    <n v="8"/>
    <n v="5"/>
    <x v="2"/>
    <s v="Cooperativa Neike"/>
    <n v="19000"/>
    <n v="12500"/>
    <n v="6500"/>
    <n v="380"/>
  </r>
  <r>
    <x v="1"/>
    <s v="Juan Perez"/>
    <s v="Soporte Regulable Notebook"/>
    <n v="8"/>
    <s v="TRX-1178"/>
    <n v="8"/>
    <n v="22"/>
    <x v="1"/>
    <s v="TechImport S.R.L."/>
    <n v="429000"/>
    <n v="264000"/>
    <n v="165000"/>
    <n v="8580"/>
  </r>
  <r>
    <x v="2"/>
    <s v="Carlos Ruiz"/>
    <s v="Cargador Rápido Usb-C 65W"/>
    <n v="10"/>
    <s v="TRX-1179"/>
    <n v="8"/>
    <n v="4"/>
    <x v="1"/>
    <s v="TechImport S.R.L."/>
    <n v="88000"/>
    <n v="56000"/>
    <n v="32000"/>
    <n v="1760"/>
  </r>
  <r>
    <x v="3"/>
    <s v="Juan Perez"/>
    <s v="Yerba Mate Premium 1Kg"/>
    <n v="8"/>
    <s v="TRX-1180"/>
    <n v="8"/>
    <n v="18"/>
    <x v="2"/>
    <s v="Cooperativa Neike"/>
    <n v="68400"/>
    <n v="45000"/>
    <n v="23400"/>
    <n v="1368"/>
  </r>
  <r>
    <x v="2"/>
    <s v="Ana Martinez"/>
    <s v="Café En Grano Intenso 1Kg"/>
    <n v="8"/>
    <s v="TRX-1181"/>
    <n v="8"/>
    <n v="25"/>
    <x v="2"/>
    <s v="Distribuidora del Nordeste"/>
    <n v="462500"/>
    <n v="312500"/>
    <n v="150000"/>
    <n v="9250"/>
  </r>
  <r>
    <x v="1"/>
    <s v="Ana Martinez"/>
    <s v="Soporte Regulable Notebook"/>
    <n v="8"/>
    <s v="TRX-1182"/>
    <n v="8"/>
    <n v="9"/>
    <x v="1"/>
    <s v="TechImport S.R.L."/>
    <n v="175500"/>
    <n v="108000"/>
    <n v="67500"/>
    <n v="3510"/>
  </r>
  <r>
    <x v="2"/>
    <s v="Maria Gomez"/>
    <s v="Snack Premios Perro 250G"/>
    <n v="8"/>
    <s v="TRX-1183"/>
    <n v="8"/>
    <n v="6"/>
    <x v="3"/>
    <s v="NutriDog Arg"/>
    <n v="18600"/>
    <n v="10800"/>
    <n v="7800"/>
    <n v="372"/>
  </r>
  <r>
    <x v="1"/>
    <s v="Ana Martinez"/>
    <s v="Juguete Mordillo Goma"/>
    <n v="10"/>
    <s v="TRX-1184"/>
    <n v="8"/>
    <n v="3"/>
    <x v="3"/>
    <s v="PetStyle Litoral"/>
    <n v="14400"/>
    <n v="8100"/>
    <n v="6300"/>
    <n v="288"/>
  </r>
  <r>
    <x v="0"/>
    <s v="Maria Gomez"/>
    <s v="Cargador Rápido Usb-C 65W"/>
    <n v="8"/>
    <s v="TRX-1185"/>
    <n v="8"/>
    <n v="11"/>
    <x v="1"/>
    <s v="TechImport S.R.L."/>
    <n v="242000"/>
    <n v="154000"/>
    <n v="88000"/>
    <n v="4840"/>
  </r>
  <r>
    <x v="0"/>
    <s v="Juan Perez"/>
    <s v="Soporte Regulable Notebook"/>
    <n v="8"/>
    <s v="TRX-1186"/>
    <n v="8"/>
    <n v="2"/>
    <x v="1"/>
    <s v="TechImport S.R.L."/>
    <n v="39000"/>
    <n v="24000"/>
    <n v="15000"/>
    <n v="780"/>
  </r>
  <r>
    <x v="1"/>
    <s v="Carlos Ruiz"/>
    <s v="Alimento Perro Adulto 15Kg"/>
    <n v="8"/>
    <s v="TRX-1187"/>
    <n v="8"/>
    <n v="7"/>
    <x v="3"/>
    <s v="NutriDog Arg"/>
    <n v="245000"/>
    <n v="168000"/>
    <n v="77000"/>
    <n v="9800"/>
  </r>
  <r>
    <x v="1"/>
    <s v="Ana Martinez"/>
    <s v="Alimento Gato Castrado 10Kg"/>
    <n v="8"/>
    <s v="TRX-1188"/>
    <n v="8"/>
    <n v="17"/>
    <x v="3"/>
    <s v="NutriDog Arg"/>
    <n v="501500"/>
    <n v="340000"/>
    <n v="161500"/>
    <n v="20060"/>
  </r>
  <r>
    <x v="0"/>
    <s v="Juan Perez"/>
    <s v="Yerba Mate Premium 1Kg"/>
    <n v="8"/>
    <s v="TRX-1189"/>
    <n v="8"/>
    <n v="7"/>
    <x v="2"/>
    <s v="Cooperativa Neike"/>
    <n v="26600"/>
    <n v="17500"/>
    <n v="9100"/>
    <n v="532"/>
  </r>
  <r>
    <x v="0"/>
    <s v="Carlos Ruiz"/>
    <s v="Correa Reforzada Canina 3M"/>
    <n v="8"/>
    <s v="TRX-1190"/>
    <n v="8"/>
    <n v="6"/>
    <x v="3"/>
    <s v="PetStyle Litoral"/>
    <n v="55200"/>
    <n v="33000"/>
    <n v="22200"/>
    <n v="1104"/>
  </r>
  <r>
    <x v="1"/>
    <s v="Carlos Ruiz"/>
    <s v="Yerba Mate Premium 1Kg"/>
    <n v="8"/>
    <s v="TRX-1191"/>
    <n v="8"/>
    <n v="12"/>
    <x v="2"/>
    <s v="Cooperativa Neike"/>
    <n v="45600"/>
    <n v="30000"/>
    <n v="15600"/>
    <n v="912"/>
  </r>
  <r>
    <x v="0"/>
    <s v="Carlos Ruiz"/>
    <s v="Snack Premios Perro 250G"/>
    <n v="10"/>
    <s v="TRX-1192"/>
    <n v="8"/>
    <n v="11"/>
    <x v="3"/>
    <s v="NutriDog Arg"/>
    <n v="34100"/>
    <n v="19800"/>
    <n v="14300"/>
    <n v="682"/>
  </r>
  <r>
    <x v="2"/>
    <s v="Juan Perez"/>
    <s v="Cargador Rápido Usb-C 65W"/>
    <n v="8"/>
    <s v="TRX-1193"/>
    <n v="8"/>
    <n v="11"/>
    <x v="1"/>
    <s v="TechImport S.R.L."/>
    <n v="242000"/>
    <n v="154000"/>
    <n v="88000"/>
    <n v="4840"/>
  </r>
  <r>
    <x v="2"/>
    <s v="Juan Perez"/>
    <s v="Termo Acero Inoxidable 1.3L"/>
    <n v="8"/>
    <s v="TRX-1194"/>
    <n v="8"/>
    <n v="4"/>
    <x v="0"/>
    <s v="Distribuidora del Nordeste"/>
    <n v="128000"/>
    <n v="84000"/>
    <n v="44000"/>
    <n v="5120"/>
  </r>
  <r>
    <x v="3"/>
    <s v="Maria Gomez"/>
    <s v="Teclado Mecánico Rgb"/>
    <n v="10"/>
    <s v="TRX-1195"/>
    <n v="8"/>
    <n v="8"/>
    <x v="1"/>
    <s v="TechImport S.R.L."/>
    <n v="360000"/>
    <n v="240000"/>
    <n v="120000"/>
    <n v="14400"/>
  </r>
  <r>
    <x v="1"/>
    <s v="Carlos Ruiz"/>
    <s v="Mates De Madera Calada"/>
    <n v="8"/>
    <s v="TRX-1196"/>
    <n v="8"/>
    <n v="25"/>
    <x v="0"/>
    <s v="Artesanías Guaraníes"/>
    <n v="212500"/>
    <n v="120000"/>
    <n v="92500"/>
    <n v="4250"/>
  </r>
  <r>
    <x v="0"/>
    <s v="Juan Perez"/>
    <s v="Mouse Inalámbrico Ergonómico"/>
    <n v="8"/>
    <s v="TRX-1197"/>
    <n v="8"/>
    <n v="7"/>
    <x v="1"/>
    <s v="TechImport S.R.L."/>
    <n v="105000"/>
    <n v="66500"/>
    <n v="38500"/>
    <n v="2100"/>
  </r>
  <r>
    <x v="0"/>
    <s v="Ana Martinez"/>
    <s v="Termo Acero Inoxidable 1.3L"/>
    <n v="8"/>
    <s v="TRX-1198"/>
    <n v="8"/>
    <n v="15"/>
    <x v="0"/>
    <s v="Distribuidora del Nordeste"/>
    <n v="480000"/>
    <n v="315000"/>
    <n v="165000"/>
    <n v="28800"/>
  </r>
  <r>
    <x v="1"/>
    <s v="Ana Martinez"/>
    <s v="Auriculares Bluetooth Pro"/>
    <n v="8"/>
    <s v="TRX-1199"/>
    <n v="8"/>
    <n v="20"/>
    <x v="1"/>
    <s v="TechImport S.R.L."/>
    <n v="560000"/>
    <n v="360000"/>
    <n v="200000"/>
    <n v="22400"/>
  </r>
  <r>
    <x v="0"/>
    <s v="Carlos Ruiz"/>
    <s v="Mates De Madera Calada"/>
    <n v="8"/>
    <s v="TRX-1200"/>
    <n v="8"/>
    <n v="10"/>
    <x v="0"/>
    <s v="Artesanías Guaraníes"/>
    <n v="85000"/>
    <n v="48000"/>
    <n v="37000"/>
    <n v="17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097D19-3B55-4DF4-B2DF-95D668235655}" name="TablaDinámica6" cacheId="0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8" indent="0" outline="1" outlineData="1" multipleFieldFilters="0" chartFormat="10" rowHeaderCaption="CATEGORÍA">
  <location ref="I4:J8" firstHeaderRow="1" firstDataRow="1" firstDataCol="1"/>
  <pivotFields count="13"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showAll="0"/>
    <pivotField showAll="0"/>
    <pivotField numFmtId="1" showAll="0"/>
    <pivotField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numFmtId="164" showAll="0"/>
  </pivotFields>
  <rowFields count="1">
    <field x="0"/>
  </rowFields>
  <rowItems count="4">
    <i>
      <x/>
    </i>
    <i>
      <x v="1"/>
    </i>
    <i>
      <x v="2"/>
    </i>
    <i>
      <x v="3"/>
    </i>
  </rowItems>
  <colItems count="1">
    <i/>
  </colItems>
  <dataFields count="1">
    <dataField name="TOTAL VENTA" fld="9" baseField="7" baseItem="0" numFmtId="167"/>
  </dataFields>
  <formats count="3">
    <format dxfId="11">
      <pivotArea field="7" type="button" dataOnly="0" labelOnly="1" outline="0"/>
    </format>
    <format dxfId="10">
      <pivotArea dataOnly="0" labelOnly="1" outline="0" axis="axisValues" fieldPosition="0"/>
    </format>
    <format dxfId="9">
      <pivotArea dataOnly="0" labelOnly="1" fieldPosition="0">
        <references count="1">
          <reference field="0" count="0"/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35B7DA-D63C-42B2-A1F1-BAFD45B30F29}" name="TablaDinámica5" cacheId="0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8" indent="0" outline="1" outlineData="1" multipleFieldFilters="0" chartFormat="6" rowHeaderCaption="CATEGORÍA">
  <location ref="F4:G8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numFmtId="1" showAll="0"/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numFmtId="164" showAll="0"/>
  </pivotFields>
  <rowFields count="1">
    <field x="7"/>
  </rowFields>
  <rowItems count="4">
    <i>
      <x/>
    </i>
    <i>
      <x v="1"/>
    </i>
    <i>
      <x v="2"/>
    </i>
    <i>
      <x v="3"/>
    </i>
  </rowItems>
  <colItems count="1">
    <i/>
  </colItems>
  <dataFields count="1">
    <dataField name="TOTAL VENTA" fld="9" baseField="7" baseItem="0" numFmtId="167"/>
  </dataFields>
  <formats count="4">
    <format dxfId="15">
      <pivotArea field="7" type="button" dataOnly="0" labelOnly="1" outline="0" axis="axisRow" fieldPosition="0"/>
    </format>
    <format dxfId="14">
      <pivotArea dataOnly="0" labelOnly="1" outline="0" axis="axisValues" fieldPosition="0"/>
    </format>
    <format dxfId="13">
      <pivotArea dataOnly="0" labelOnly="1" fieldPosition="0">
        <references count="1">
          <reference field="7" count="0"/>
        </references>
      </pivotArea>
    </format>
    <format dxfId="12">
      <pivotArea dataOnly="0" labelOnly="1" fieldPosition="0">
        <references count="1">
          <reference field="7" count="0"/>
        </references>
      </pivotArea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Medium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08815BD7-235E-473B-8926-F5C44DEBBC07}" autoFormatId="16" applyNumberFormats="0" applyBorderFormats="0" applyFontFormats="0" applyPatternFormats="0" applyAlignmentFormats="0" applyWidthHeightFormats="0">
  <queryTableRefresh nextId="22" unboundColumnsRight="13">
    <queryTableFields count="21">
      <queryTableField id="1" name="ID_Transaccion" tableColumnId="1"/>
      <queryTableField id="2" name="Fecha" tableColumnId="2"/>
      <queryTableField id="3" name="Sucursal" tableColumnId="3"/>
      <queryTableField id="4" name="Vendedor" tableColumnId="4"/>
      <queryTableField id="5" name="Producto" tableColumnId="5"/>
      <queryTableField id="6" name="Cantidad" tableColumnId="6"/>
      <queryTableField id="7" name="Precio_Unitario" tableColumnId="7"/>
      <queryTableField id="8" name="Costo_Unitario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4" dataBound="0" tableColumnId="14"/>
      <queryTableField id="15" dataBound="0" tableColumnId="15"/>
      <queryTableField id="13" dataBound="0" tableColumnId="13"/>
      <queryTableField id="16" dataBound="0" tableColumnId="16"/>
      <queryTableField id="17" dataBound="0" tableColumnId="17"/>
      <queryTableField id="18" dataBound="0" tableColumnId="18"/>
      <queryTableField id="19" dataBound="0" tableColumnId="19"/>
      <queryTableField id="20" dataBound="0" tableColumnId="20"/>
      <queryTableField id="21" dataBound="0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908C577-A313-45E6-A5FF-90B5FC7125CD}" autoFormatId="16" applyNumberFormats="0" applyBorderFormats="0" applyFontFormats="0" applyPatternFormats="0" applyAlignmentFormats="0" applyWidthHeightFormats="0">
  <queryTableRefresh nextId="7">
    <queryTableFields count="6">
      <queryTableField id="1" name="SKU" tableColumnId="1"/>
      <queryTableField id="2" name="Producto" tableColumnId="2"/>
      <queryTableField id="3" name="Categoria" tableColumnId="3"/>
      <queryTableField id="4" name="Proveedor" tableColumnId="4"/>
      <queryTableField id="5" name="Precio_Lista" tableColumnId="5"/>
      <queryTableField id="6" name="Costo_Bas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6BB31A-F31C-45F1-9A95-50CB4B0B7935}" name="ventas_raw_200" displayName="ventas_raw_200" ref="A1:U201" tableType="queryTable" totalsRowShown="0">
  <autoFilter ref="A1:U201" xr:uid="{296BB31A-F31C-45F1-9A95-50CB4B0B7935}"/>
  <tableColumns count="21">
    <tableColumn id="1" xr3:uid="{E0E0702E-196A-4EF6-BEF0-799C9F680382}" uniqueName="1" name="ID_Transaccion" queryTableFieldId="1" dataDxfId="37"/>
    <tableColumn id="2" xr3:uid="{AD776A56-95C7-4CEE-8146-4188DA1A1E5F}" uniqueName="2" name="Fecha" queryTableFieldId="2" dataDxfId="36"/>
    <tableColumn id="3" xr3:uid="{9D9C5DB0-A74E-41B1-8E48-09325E36F3A6}" uniqueName="3" name="Sucursal" queryTableFieldId="3" dataDxfId="35"/>
    <tableColumn id="4" xr3:uid="{67B96095-377A-49DA-BD5A-90C024ED0BBF}" uniqueName="4" name="Vendedor" queryTableFieldId="4" dataDxfId="34"/>
    <tableColumn id="5" xr3:uid="{99321190-FC85-4267-9D9C-410F924FEC8B}" uniqueName="5" name="Producto" queryTableFieldId="5" dataDxfId="33"/>
    <tableColumn id="6" xr3:uid="{6122EE6C-291C-442B-93CE-F4385E8B4FA5}" uniqueName="6" name="Cantidad" queryTableFieldId="6"/>
    <tableColumn id="7" xr3:uid="{319AE9B0-4277-4DD5-8966-B40A684CD0FD}" uniqueName="7" name="Precio_Unitario" queryTableFieldId="7"/>
    <tableColumn id="8" xr3:uid="{B0CA12ED-FD4D-40D8-BCEA-1B43EC9C3854}" uniqueName="8" name="Costo_Unitario" queryTableFieldId="8"/>
    <tableColumn id="9" xr3:uid="{674E4FE4-84E3-4E71-8DF2-AEF3D0769B6E}" uniqueName="9" name="Sucursal_limpio" queryTableFieldId="9" dataDxfId="32">
      <calculatedColumnFormula>PROPER(TRIM(ventas_raw_200[[#This Row],[Sucursal]]))</calculatedColumnFormula>
    </tableColumn>
    <tableColumn id="10" xr3:uid="{8842C616-7A44-4D8F-830A-DC9B385FF65C}" uniqueName="10" name="Vendedor_limpio" queryTableFieldId="10" dataDxfId="31">
      <calculatedColumnFormula>PROPER(TRIM(ventas_raw_200[[#This Row],[Vendedor]]))</calculatedColumnFormula>
    </tableColumn>
    <tableColumn id="11" xr3:uid="{D0D34295-0CD2-4D2A-A1C2-49CBE900B26D}" uniqueName="11" name="Producto_limpio" queryTableFieldId="11" dataDxfId="30">
      <calculatedColumnFormula>PROPER(TRIM(ventas_raw_200[[#This Row],[Producto]]))</calculatedColumnFormula>
    </tableColumn>
    <tableColumn id="12" xr3:uid="{82088BD1-AAC0-4DAC-ACF4-0D13E04AF90A}" uniqueName="12" name="Largo_ID" queryTableFieldId="12" dataDxfId="29">
      <calculatedColumnFormula>LEN(ventas_raw_200[[#This Row],[ID_Transaccion]])</calculatedColumnFormula>
    </tableColumn>
    <tableColumn id="14" xr3:uid="{DA22C123-56EC-4F2D-9417-CCD065C9919A}" uniqueName="14" name="ID_Transaccion_Limpio" queryTableFieldId="14" dataDxfId="28">
      <calculatedColumnFormula array="1">ESPACIO(ventas_raw_200[[#This Row],[ID_Transaccion]])</calculatedColumnFormula>
    </tableColumn>
    <tableColumn id="15" xr3:uid="{BBCFA19E-8848-4666-9B37-12663F56D801}" uniqueName="15" name="Largo_ID2" queryTableFieldId="15" dataDxfId="27">
      <calculatedColumnFormula>LEN(ventas_raw_200[[#This Row],[ID_Transaccion_Limpio]])</calculatedColumnFormula>
    </tableColumn>
    <tableColumn id="13" xr3:uid="{D20A2638-AE8F-4264-A4B6-6490336A82FA}" uniqueName="13" name="Cantidad_Auditada" queryTableFieldId="13" dataDxfId="26">
      <calculatedColumnFormula>IFERROR(IF(ventas_raw_200[[#This Row],[Cantidad]]&lt;0,1,ventas_raw_200[[#This Row],[Cantidad]]),1)</calculatedColumnFormula>
    </tableColumn>
    <tableColumn id="16" xr3:uid="{97AAB915-6063-4D41-8E27-A1BE0E836809}" uniqueName="16" name="Categoria_oficial" queryTableFieldId="16" dataDxfId="25">
      <calculatedColumnFormula>IFERROR(_xlfn.XLOOKUP(K2,maestro_productos_15!$B$2:$B$16,maestro_productos_15!$C$2:$C$16),"No encontrada")</calculatedColumnFormula>
    </tableColumn>
    <tableColumn id="17" xr3:uid="{BADEDBFE-FDD6-42CC-A561-3D6CE653D494}" uniqueName="17" name="Proveedor_Oficial" queryTableFieldId="17" dataDxfId="24">
      <calculatedColumnFormula>IFERROR(_xlfn.XLOOKUP(K2,maestro_productos_15!$B$2:$B$16,maestro_productos_15!$D$2:$D$16),"No encontrada")</calculatedColumnFormula>
    </tableColumn>
    <tableColumn id="18" xr3:uid="{86FE72A2-DAC9-466D-8C61-A8F0388EB258}" uniqueName="18" name="Total_Venta" queryTableFieldId="18" dataDxfId="23">
      <calculatedColumnFormula>ventas_raw_200[[#This Row],[Precio_Unitario]]*ventas_raw_200[[#This Row],[Cantidad_Auditada]]</calculatedColumnFormula>
    </tableColumn>
    <tableColumn id="19" xr3:uid="{A630270D-A803-45DA-84C3-C7A2DA2ADF0B}" uniqueName="19" name="Total_Costo" queryTableFieldId="19" dataDxfId="22">
      <calculatedColumnFormula>ventas_raw_200[[#This Row],[Costo_Unitario]]*ventas_raw_200[[#This Row],[Cantidad_Auditada]]</calculatedColumnFormula>
    </tableColumn>
    <tableColumn id="20" xr3:uid="{7475398A-DBDD-4ED1-8862-C6008E9039B0}" uniqueName="20" name="Ganancia" queryTableFieldId="20" dataDxfId="21">
      <calculatedColumnFormula>ventas_raw_200[[#This Row],[Total_Venta]]-ventas_raw_200[[#This Row],[Total_Costo]]</calculatedColumnFormula>
    </tableColumn>
    <tableColumn id="21" xr3:uid="{5F065449-1151-4680-8777-6D8906C45A98}" uniqueName="21" name="Comision" queryTableFieldId="21" dataDxfId="20">
      <calculatedColumnFormula array="1">_xlfn.IFS(AND(G2&gt;25000,I2="Corrientes"),O2*G2*0.06,G2&gt;25000,O2*G2*0.04,TRUE,O2*G2*0.02)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A3842E-4441-4CC0-A8E7-DECEA7E9F885}" name="maestro_productos_15" displayName="maestro_productos_15" ref="A1:F16" tableType="queryTable" totalsRowShown="0">
  <autoFilter ref="A1:F16" xr:uid="{6FA3842E-4441-4CC0-A8E7-DECEA7E9F885}"/>
  <tableColumns count="6">
    <tableColumn id="1" xr3:uid="{C27B42F1-88CC-42E7-91C9-47E469E2FC05}" uniqueName="1" name="SKU" queryTableFieldId="1" dataDxfId="19"/>
    <tableColumn id="2" xr3:uid="{227E9FD2-BCA8-4368-ABC1-9180B57B7F27}" uniqueName="2" name="Producto" queryTableFieldId="2" dataDxfId="18"/>
    <tableColumn id="3" xr3:uid="{93F2C511-0D3E-4D38-9146-BB41512FF17B}" uniqueName="3" name="Categoria" queryTableFieldId="3" dataDxfId="17"/>
    <tableColumn id="4" xr3:uid="{11FF30A7-5055-4A24-A987-03556B62CA06}" uniqueName="4" name="Proveedor" queryTableFieldId="4" dataDxfId="16"/>
    <tableColumn id="5" xr3:uid="{0D66B27F-7E66-44A3-A1FA-1E74E8B6DCB3}" uniqueName="5" name="Precio_Lista" queryTableFieldId="5"/>
    <tableColumn id="6" xr3:uid="{BFF28220-AB15-4FCA-A27E-D050E6B95416}" uniqueName="6" name="Costo_Base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642AD-F1A0-4123-8DCB-E56541A5579A}">
  <sheetPr codeName="Hoja1"/>
  <dimension ref="A1:X201"/>
  <sheetViews>
    <sheetView topLeftCell="K168" workbookViewId="0">
      <selection activeCell="U2" sqref="U2"/>
    </sheetView>
  </sheetViews>
  <sheetFormatPr baseColWidth="10" defaultRowHeight="15" x14ac:dyDescent="0.25"/>
  <cols>
    <col min="1" max="1" width="16.85546875" bestFit="1" customWidth="1"/>
    <col min="2" max="2" width="10.42578125" bestFit="1" customWidth="1"/>
    <col min="3" max="3" width="11.85546875" bestFit="1" customWidth="1"/>
    <col min="4" max="4" width="14.140625" bestFit="1" customWidth="1"/>
    <col min="5" max="5" width="30.42578125" bestFit="1" customWidth="1"/>
    <col min="7" max="7" width="17" bestFit="1" customWidth="1"/>
    <col min="8" max="8" width="16.7109375" bestFit="1" customWidth="1"/>
    <col min="9" max="9" width="17.5703125" bestFit="1" customWidth="1"/>
    <col min="10" max="10" width="18.7109375" bestFit="1" customWidth="1"/>
    <col min="11" max="11" width="29.5703125" bestFit="1" customWidth="1"/>
    <col min="13" max="13" width="24.140625" bestFit="1" customWidth="1"/>
    <col min="14" max="14" width="7.140625" customWidth="1"/>
    <col min="15" max="15" width="20.28515625" bestFit="1" customWidth="1"/>
    <col min="16" max="16" width="24.5703125" customWidth="1"/>
    <col min="17" max="17" width="24.5703125" bestFit="1" customWidth="1"/>
    <col min="21" max="21" width="12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262</v>
      </c>
      <c r="J1" t="s">
        <v>263</v>
      </c>
      <c r="K1" t="s">
        <v>264</v>
      </c>
      <c r="L1" t="s">
        <v>265</v>
      </c>
      <c r="M1" t="s">
        <v>267</v>
      </c>
      <c r="N1" t="s">
        <v>268</v>
      </c>
      <c r="O1" t="s">
        <v>266</v>
      </c>
      <c r="P1" t="s">
        <v>299</v>
      </c>
      <c r="Q1" t="s">
        <v>300</v>
      </c>
      <c r="R1" t="s">
        <v>301</v>
      </c>
      <c r="S1" t="s">
        <v>302</v>
      </c>
      <c r="T1" t="s">
        <v>303</v>
      </c>
      <c r="U1" t="s">
        <v>304</v>
      </c>
    </row>
    <row r="2" spans="1:24" x14ac:dyDescent="0.25">
      <c r="A2" t="s">
        <v>8</v>
      </c>
      <c r="B2" s="1">
        <v>46111</v>
      </c>
      <c r="C2" t="s">
        <v>9</v>
      </c>
      <c r="D2" t="s">
        <v>10</v>
      </c>
      <c r="E2" t="s">
        <v>11</v>
      </c>
      <c r="F2">
        <v>8</v>
      </c>
      <c r="G2">
        <v>8500</v>
      </c>
      <c r="H2">
        <v>4800</v>
      </c>
      <c r="I2" t="str">
        <f>PROPER(TRIM(ventas_raw_200[[#This Row],[Sucursal]]))</f>
        <v>Corrientes</v>
      </c>
      <c r="J2" t="str">
        <f>PROPER(TRIM(ventas_raw_200[[#This Row],[Vendedor]]))</f>
        <v>Ana Martinez</v>
      </c>
      <c r="K2" t="str">
        <f>PROPER(TRIM(ventas_raw_200[[#This Row],[Producto]]))</f>
        <v>Mates De Madera Calada</v>
      </c>
      <c r="L2">
        <f>LEN(ventas_raw_200[[#This Row],[ID_Transaccion]])</f>
        <v>8</v>
      </c>
      <c r="M2" t="str">
        <f>TRIM(ventas_raw_200[[#This Row],[ID_Transaccion]])</f>
        <v>TRX-1001</v>
      </c>
      <c r="N2">
        <f>LEN(ventas_raw_200[[#This Row],[ID_Transaccion_Limpio]])</f>
        <v>8</v>
      </c>
      <c r="O2" s="2">
        <f>IFERROR(IF(ventas_raw_200[[#This Row],[Cantidad]]&lt;0,1,ventas_raw_200[[#This Row],[Cantidad]]),1)</f>
        <v>8</v>
      </c>
      <c r="P2" t="str">
        <f>IFERROR(_xlfn.XLOOKUP(K2,maestro_productos_15!$B$2:$B$16,maestro_productos_15!$C$2:$C$16),"No encontrada")</f>
        <v>Bazar</v>
      </c>
      <c r="Q2" t="str">
        <f>IFERROR(_xlfn.XLOOKUP(K2,maestro_productos_15!$B$2:$B$16,maestro_productos_15!$D$2:$D$16),"No encontrada")</f>
        <v>Artesanías Guaraníes</v>
      </c>
      <c r="R2">
        <f>ventas_raw_200[[#This Row],[Precio_Unitario]]*ventas_raw_200[[#This Row],[Cantidad_Auditada]]</f>
        <v>68000</v>
      </c>
      <c r="S2">
        <f>ventas_raw_200[[#This Row],[Costo_Unitario]]*ventas_raw_200[[#This Row],[Cantidad_Auditada]]</f>
        <v>38400</v>
      </c>
      <c r="T2">
        <f>ventas_raw_200[[#This Row],[Total_Venta]]-ventas_raw_200[[#This Row],[Total_Costo]]</f>
        <v>29600</v>
      </c>
      <c r="U2" s="3" cm="1">
        <f t="array" ref="U2">_xlfn.IFS(AND(G2&gt;25000,I2="Corrientes"),O2*G2*0.06,G2&gt;25000,O2*G2*0.04,TRUE,O2*G2*0.02)</f>
        <v>1360</v>
      </c>
    </row>
    <row r="3" spans="1:24" x14ac:dyDescent="0.25">
      <c r="A3" t="s">
        <v>12</v>
      </c>
      <c r="B3" s="1">
        <v>46106</v>
      </c>
      <c r="C3" t="s">
        <v>13</v>
      </c>
      <c r="D3" t="s">
        <v>14</v>
      </c>
      <c r="E3" t="s">
        <v>15</v>
      </c>
      <c r="F3">
        <v>2</v>
      </c>
      <c r="G3">
        <v>32000</v>
      </c>
      <c r="H3">
        <v>21000</v>
      </c>
      <c r="I3" t="str">
        <f>PROPER(TRIM(ventas_raw_200[[#This Row],[Sucursal]]))</f>
        <v>Posadas</v>
      </c>
      <c r="J3" t="str">
        <f>PROPER(TRIM(ventas_raw_200[[#This Row],[Vendedor]]))</f>
        <v>Juan Perez</v>
      </c>
      <c r="K3" t="str">
        <f>PROPER(TRIM(ventas_raw_200[[#This Row],[Producto]]))</f>
        <v>Termo Acero Inoxidable 1.3L</v>
      </c>
      <c r="L3">
        <f>LEN(ventas_raw_200[[#This Row],[ID_Transaccion]])</f>
        <v>8</v>
      </c>
      <c r="M3" t="str">
        <f>TRIM(ventas_raw_200[[#This Row],[ID_Transaccion]])</f>
        <v>TRX-1002</v>
      </c>
      <c r="N3">
        <f>LEN(ventas_raw_200[[#This Row],[ID_Transaccion_Limpio]])</f>
        <v>8</v>
      </c>
      <c r="O3" s="2">
        <f>IFERROR(IF(ventas_raw_200[[#This Row],[Cantidad]]&lt;0,1,ventas_raw_200[[#This Row],[Cantidad]]),1)</f>
        <v>2</v>
      </c>
      <c r="P3" t="str">
        <f>IFERROR(_xlfn.XLOOKUP(K3,maestro_productos_15!$B$2:$B$16,maestro_productos_15!$C$2:$C$16),"No encontrada")</f>
        <v>Bazar</v>
      </c>
      <c r="Q3" t="str">
        <f>IFERROR(_xlfn.XLOOKUP(K3,maestro_productos_15!$B$2:$B$16,maestro_productos_15!$D$2:$D$16),"No encontrada")</f>
        <v>Distribuidora del Nordeste</v>
      </c>
      <c r="R3">
        <f>ventas_raw_200[[#This Row],[Precio_Unitario]]*ventas_raw_200[[#This Row],[Cantidad_Auditada]]</f>
        <v>64000</v>
      </c>
      <c r="S3">
        <f>ventas_raw_200[[#This Row],[Costo_Unitario]]*ventas_raw_200[[#This Row],[Cantidad_Auditada]]</f>
        <v>42000</v>
      </c>
      <c r="T3">
        <f>ventas_raw_200[[#This Row],[Total_Venta]]-ventas_raw_200[[#This Row],[Total_Costo]]</f>
        <v>22000</v>
      </c>
      <c r="U3" s="3" cm="1">
        <f t="array" ref="U3">_xlfn.IFS(AND(G3&gt;25000,I3="Corrientes"),O3*G3*0.06,G3&gt;25000,O3*G3*0.04,TRUE,O3*G3*0.02)</f>
        <v>2560</v>
      </c>
      <c r="X3" s="4"/>
    </row>
    <row r="4" spans="1:24" x14ac:dyDescent="0.25">
      <c r="A4" t="s">
        <v>16</v>
      </c>
      <c r="B4" s="1">
        <v>46082</v>
      </c>
      <c r="C4" t="s">
        <v>13</v>
      </c>
      <c r="D4" t="s">
        <v>14</v>
      </c>
      <c r="E4" t="s">
        <v>17</v>
      </c>
      <c r="F4">
        <v>23</v>
      </c>
      <c r="G4">
        <v>15000</v>
      </c>
      <c r="H4">
        <v>9500</v>
      </c>
      <c r="I4" t="str">
        <f>PROPER(TRIM(ventas_raw_200[[#This Row],[Sucursal]]))</f>
        <v>Posadas</v>
      </c>
      <c r="J4" t="str">
        <f>PROPER(TRIM(ventas_raw_200[[#This Row],[Vendedor]]))</f>
        <v>Juan Perez</v>
      </c>
      <c r="K4" t="str">
        <f>PROPER(TRIM(ventas_raw_200[[#This Row],[Producto]]))</f>
        <v>Mouse Inalámbrico Ergonómico</v>
      </c>
      <c r="L4">
        <f>LEN(ventas_raw_200[[#This Row],[ID_Transaccion]])</f>
        <v>8</v>
      </c>
      <c r="M4" t="str">
        <f>TRIM(ventas_raw_200[[#This Row],[ID_Transaccion]])</f>
        <v>TRX-1003</v>
      </c>
      <c r="N4">
        <f>LEN(ventas_raw_200[[#This Row],[ID_Transaccion_Limpio]])</f>
        <v>8</v>
      </c>
      <c r="O4" s="2">
        <f>IFERROR(IF(ventas_raw_200[[#This Row],[Cantidad]]&lt;0,1,ventas_raw_200[[#This Row],[Cantidad]]),1)</f>
        <v>23</v>
      </c>
      <c r="P4" t="str">
        <f>IFERROR(_xlfn.XLOOKUP(K4,maestro_productos_15!$B$2:$B$16,maestro_productos_15!$C$2:$C$16),"No encontrada")</f>
        <v>Tecnología</v>
      </c>
      <c r="Q4" t="str">
        <f>IFERROR(_xlfn.XLOOKUP(K4,maestro_productos_15!$B$2:$B$16,maestro_productos_15!$D$2:$D$16),"No encontrada")</f>
        <v>TechImport S.R.L.</v>
      </c>
      <c r="R4">
        <f>ventas_raw_200[[#This Row],[Precio_Unitario]]*ventas_raw_200[[#This Row],[Cantidad_Auditada]]</f>
        <v>345000</v>
      </c>
      <c r="S4">
        <f>ventas_raw_200[[#This Row],[Costo_Unitario]]*ventas_raw_200[[#This Row],[Cantidad_Auditada]]</f>
        <v>218500</v>
      </c>
      <c r="T4">
        <f>ventas_raw_200[[#This Row],[Total_Venta]]-ventas_raw_200[[#This Row],[Total_Costo]]</f>
        <v>126500</v>
      </c>
      <c r="U4" s="3" cm="1">
        <f t="array" ref="U4">_xlfn.IFS(AND(G4&gt;25000,I4="Corrientes"),O4*G4*0.06,G4&gt;25000,O4*G4*0.04,TRUE,O4*G4*0.02)</f>
        <v>6900</v>
      </c>
      <c r="X4" s="5"/>
    </row>
    <row r="5" spans="1:24" x14ac:dyDescent="0.25">
      <c r="A5" t="s">
        <v>18</v>
      </c>
      <c r="B5" s="1">
        <v>46107</v>
      </c>
      <c r="C5" t="s">
        <v>19</v>
      </c>
      <c r="D5" t="s">
        <v>20</v>
      </c>
      <c r="E5" t="s">
        <v>21</v>
      </c>
      <c r="F5">
        <v>25</v>
      </c>
      <c r="G5">
        <v>3800</v>
      </c>
      <c r="H5">
        <v>2500</v>
      </c>
      <c r="I5" t="str">
        <f>PROPER(TRIM(ventas_raw_200[[#This Row],[Sucursal]]))</f>
        <v>Resistencia</v>
      </c>
      <c r="J5" t="str">
        <f>PROPER(TRIM(ventas_raw_200[[#This Row],[Vendedor]]))</f>
        <v>Ana Martinez</v>
      </c>
      <c r="K5" t="str">
        <f>PROPER(TRIM(ventas_raw_200[[#This Row],[Producto]]))</f>
        <v>Yerba Mate Premium 1Kg</v>
      </c>
      <c r="L5">
        <f>LEN(ventas_raw_200[[#This Row],[ID_Transaccion]])</f>
        <v>8</v>
      </c>
      <c r="M5" t="str">
        <f>TRIM(ventas_raw_200[[#This Row],[ID_Transaccion]])</f>
        <v>TRX-1004</v>
      </c>
      <c r="N5">
        <f>LEN(ventas_raw_200[[#This Row],[ID_Transaccion_Limpio]])</f>
        <v>8</v>
      </c>
      <c r="O5" s="2">
        <f>IFERROR(IF(ventas_raw_200[[#This Row],[Cantidad]]&lt;0,1,ventas_raw_200[[#This Row],[Cantidad]]),1)</f>
        <v>25</v>
      </c>
      <c r="P5" t="str">
        <f>IFERROR(_xlfn.XLOOKUP(K5,maestro_productos_15!$B$2:$B$16,maestro_productos_15!$C$2:$C$16),"No encontrada")</f>
        <v>Alimentos</v>
      </c>
      <c r="Q5" t="str">
        <f>IFERROR(_xlfn.XLOOKUP(K5,maestro_productos_15!$B$2:$B$16,maestro_productos_15!$D$2:$D$16),"No encontrada")</f>
        <v>Cooperativa Neike</v>
      </c>
      <c r="R5">
        <f>ventas_raw_200[[#This Row],[Precio_Unitario]]*ventas_raw_200[[#This Row],[Cantidad_Auditada]]</f>
        <v>95000</v>
      </c>
      <c r="S5">
        <f>ventas_raw_200[[#This Row],[Costo_Unitario]]*ventas_raw_200[[#This Row],[Cantidad_Auditada]]</f>
        <v>62500</v>
      </c>
      <c r="T5">
        <f>ventas_raw_200[[#This Row],[Total_Venta]]-ventas_raw_200[[#This Row],[Total_Costo]]</f>
        <v>32500</v>
      </c>
      <c r="U5" s="3" cm="1">
        <f t="array" ref="U5">_xlfn.IFS(AND(G5&gt;25000,I5="Corrientes"),O5*G5*0.06,G5&gt;25000,O5*G5*0.04,TRUE,O5*G5*0.02)</f>
        <v>1900</v>
      </c>
      <c r="X5" s="6"/>
    </row>
    <row r="6" spans="1:24" x14ac:dyDescent="0.25">
      <c r="A6" t="s">
        <v>22</v>
      </c>
      <c r="B6" s="1">
        <v>46102</v>
      </c>
      <c r="C6" t="s">
        <v>23</v>
      </c>
      <c r="D6" t="s">
        <v>20</v>
      </c>
      <c r="E6" t="s">
        <v>17</v>
      </c>
      <c r="F6">
        <v>3</v>
      </c>
      <c r="G6">
        <v>15000</v>
      </c>
      <c r="H6">
        <v>9500</v>
      </c>
      <c r="I6" t="str">
        <f>PROPER(TRIM(ventas_raw_200[[#This Row],[Sucursal]]))</f>
        <v>Corrientes</v>
      </c>
      <c r="J6" t="str">
        <f>PROPER(TRIM(ventas_raw_200[[#This Row],[Vendedor]]))</f>
        <v>Ana Martinez</v>
      </c>
      <c r="K6" t="str">
        <f>PROPER(TRIM(ventas_raw_200[[#This Row],[Producto]]))</f>
        <v>Mouse Inalámbrico Ergonómico</v>
      </c>
      <c r="L6">
        <f>LEN(ventas_raw_200[[#This Row],[ID_Transaccion]])</f>
        <v>8</v>
      </c>
      <c r="M6" t="str">
        <f>TRIM(ventas_raw_200[[#This Row],[ID_Transaccion]])</f>
        <v>TRX-1005</v>
      </c>
      <c r="N6">
        <f>LEN(ventas_raw_200[[#This Row],[ID_Transaccion_Limpio]])</f>
        <v>8</v>
      </c>
      <c r="O6" s="2">
        <f>IFERROR(IF(ventas_raw_200[[#This Row],[Cantidad]]&lt;0,1,ventas_raw_200[[#This Row],[Cantidad]]),1)</f>
        <v>3</v>
      </c>
      <c r="P6" t="str">
        <f>IFERROR(_xlfn.XLOOKUP(K6,maestro_productos_15!$B$2:$B$16,maestro_productos_15!$C$2:$C$16),"No encontrada")</f>
        <v>Tecnología</v>
      </c>
      <c r="Q6" t="str">
        <f>IFERROR(_xlfn.XLOOKUP(K6,maestro_productos_15!$B$2:$B$16,maestro_productos_15!$D$2:$D$16),"No encontrada")</f>
        <v>TechImport S.R.L.</v>
      </c>
      <c r="R6">
        <f>ventas_raw_200[[#This Row],[Precio_Unitario]]*ventas_raw_200[[#This Row],[Cantidad_Auditada]]</f>
        <v>45000</v>
      </c>
      <c r="S6">
        <f>ventas_raw_200[[#This Row],[Costo_Unitario]]*ventas_raw_200[[#This Row],[Cantidad_Auditada]]</f>
        <v>28500</v>
      </c>
      <c r="T6">
        <f>ventas_raw_200[[#This Row],[Total_Venta]]-ventas_raw_200[[#This Row],[Total_Costo]]</f>
        <v>16500</v>
      </c>
      <c r="U6" s="3" cm="1">
        <f t="array" ref="U6">_xlfn.IFS(AND(G6&gt;25000,I6="Corrientes"),O6*G6*0.06,G6&gt;25000,O6*G6*0.04,TRUE,O6*G6*0.02)</f>
        <v>900</v>
      </c>
      <c r="X6" s="6"/>
    </row>
    <row r="7" spans="1:24" x14ac:dyDescent="0.25">
      <c r="A7" t="s">
        <v>24</v>
      </c>
      <c r="B7" s="1">
        <v>46051</v>
      </c>
      <c r="C7" t="s">
        <v>25</v>
      </c>
      <c r="D7" t="s">
        <v>14</v>
      </c>
      <c r="E7" t="s">
        <v>26</v>
      </c>
      <c r="F7">
        <v>18</v>
      </c>
      <c r="G7">
        <v>9200</v>
      </c>
      <c r="H7">
        <v>5500</v>
      </c>
      <c r="I7" t="str">
        <f>PROPER(TRIM(ventas_raw_200[[#This Row],[Sucursal]]))</f>
        <v>Formosa</v>
      </c>
      <c r="J7" t="str">
        <f>PROPER(TRIM(ventas_raw_200[[#This Row],[Vendedor]]))</f>
        <v>Juan Perez</v>
      </c>
      <c r="K7" t="str">
        <f>PROPER(TRIM(ventas_raw_200[[#This Row],[Producto]]))</f>
        <v>Correa Reforzada Canina 3M</v>
      </c>
      <c r="L7">
        <f>LEN(ventas_raw_200[[#This Row],[ID_Transaccion]])</f>
        <v>8</v>
      </c>
      <c r="M7" t="str">
        <f>TRIM(ventas_raw_200[[#This Row],[ID_Transaccion]])</f>
        <v>TRX-1006</v>
      </c>
      <c r="N7">
        <f>LEN(ventas_raw_200[[#This Row],[ID_Transaccion_Limpio]])</f>
        <v>8</v>
      </c>
      <c r="O7" s="2">
        <f>IFERROR(IF(ventas_raw_200[[#This Row],[Cantidad]]&lt;0,1,ventas_raw_200[[#This Row],[Cantidad]]),1)</f>
        <v>18</v>
      </c>
      <c r="P7" t="str">
        <f>IFERROR(_xlfn.XLOOKUP(K7,maestro_productos_15!$B$2:$B$16,maestro_productos_15!$C$2:$C$16),"No encontrada")</f>
        <v>Mascotas</v>
      </c>
      <c r="Q7" t="str">
        <f>IFERROR(_xlfn.XLOOKUP(K7,maestro_productos_15!$B$2:$B$16,maestro_productos_15!$D$2:$D$16),"No encontrada")</f>
        <v>PetStyle Litoral</v>
      </c>
      <c r="R7">
        <f>ventas_raw_200[[#This Row],[Precio_Unitario]]*ventas_raw_200[[#This Row],[Cantidad_Auditada]]</f>
        <v>165600</v>
      </c>
      <c r="S7">
        <f>ventas_raw_200[[#This Row],[Costo_Unitario]]*ventas_raw_200[[#This Row],[Cantidad_Auditada]]</f>
        <v>99000</v>
      </c>
      <c r="T7">
        <f>ventas_raw_200[[#This Row],[Total_Venta]]-ventas_raw_200[[#This Row],[Total_Costo]]</f>
        <v>66600</v>
      </c>
      <c r="U7" s="3" cm="1">
        <f t="array" ref="U7">_xlfn.IFS(AND(G7&gt;25000,I7="Corrientes"),O7*G7*0.06,G7&gt;25000,O7*G7*0.04,TRUE,O7*G7*0.02)</f>
        <v>3312</v>
      </c>
      <c r="X7" s="6"/>
    </row>
    <row r="8" spans="1:24" x14ac:dyDescent="0.25">
      <c r="A8" t="s">
        <v>27</v>
      </c>
      <c r="B8" s="1">
        <v>46025</v>
      </c>
      <c r="C8" t="s">
        <v>19</v>
      </c>
      <c r="D8" t="s">
        <v>20</v>
      </c>
      <c r="E8" t="s">
        <v>28</v>
      </c>
      <c r="F8">
        <v>12</v>
      </c>
      <c r="G8">
        <v>35000</v>
      </c>
      <c r="H8">
        <v>24000</v>
      </c>
      <c r="I8" t="str">
        <f>PROPER(TRIM(ventas_raw_200[[#This Row],[Sucursal]]))</f>
        <v>Resistencia</v>
      </c>
      <c r="J8" t="str">
        <f>PROPER(TRIM(ventas_raw_200[[#This Row],[Vendedor]]))</f>
        <v>Ana Martinez</v>
      </c>
      <c r="K8" t="str">
        <f>PROPER(TRIM(ventas_raw_200[[#This Row],[Producto]]))</f>
        <v>Alimento Perro Adulto 15Kg</v>
      </c>
      <c r="L8">
        <f>LEN(ventas_raw_200[[#This Row],[ID_Transaccion]])</f>
        <v>10</v>
      </c>
      <c r="M8" t="str">
        <f>TRIM(ventas_raw_200[[#This Row],[ID_Transaccion]])</f>
        <v>TRX-1007</v>
      </c>
      <c r="N8">
        <f>LEN(ventas_raw_200[[#This Row],[ID_Transaccion_Limpio]])</f>
        <v>8</v>
      </c>
      <c r="O8" s="2">
        <f>IFERROR(IF(ventas_raw_200[[#This Row],[Cantidad]]&lt;0,1,ventas_raw_200[[#This Row],[Cantidad]]),1)</f>
        <v>12</v>
      </c>
      <c r="P8" t="str">
        <f>IFERROR(_xlfn.XLOOKUP(K8,maestro_productos_15!$B$2:$B$16,maestro_productos_15!$C$2:$C$16),"No encontrada")</f>
        <v>Mascotas</v>
      </c>
      <c r="Q8" t="str">
        <f>IFERROR(_xlfn.XLOOKUP(K8,maestro_productos_15!$B$2:$B$16,maestro_productos_15!$D$2:$D$16),"No encontrada")</f>
        <v>NutriDog Arg</v>
      </c>
      <c r="R8">
        <f>ventas_raw_200[[#This Row],[Precio_Unitario]]*ventas_raw_200[[#This Row],[Cantidad_Auditada]]</f>
        <v>420000</v>
      </c>
      <c r="S8">
        <f>ventas_raw_200[[#This Row],[Costo_Unitario]]*ventas_raw_200[[#This Row],[Cantidad_Auditada]]</f>
        <v>288000</v>
      </c>
      <c r="T8">
        <f>ventas_raw_200[[#This Row],[Total_Venta]]-ventas_raw_200[[#This Row],[Total_Costo]]</f>
        <v>132000</v>
      </c>
      <c r="U8" s="3" cm="1">
        <f t="array" ref="U8">_xlfn.IFS(AND(G8&gt;25000,I8="Corrientes"),O8*G8*0.06,G8&gt;25000,O8*G8*0.04,TRUE,O8*G8*0.02)</f>
        <v>16800</v>
      </c>
    </row>
    <row r="9" spans="1:24" x14ac:dyDescent="0.25">
      <c r="A9" t="s">
        <v>29</v>
      </c>
      <c r="B9" s="1">
        <v>46050</v>
      </c>
      <c r="C9" t="s">
        <v>25</v>
      </c>
      <c r="D9" t="s">
        <v>30</v>
      </c>
      <c r="E9" t="s">
        <v>31</v>
      </c>
      <c r="F9">
        <v>8</v>
      </c>
      <c r="G9">
        <v>29500</v>
      </c>
      <c r="H9">
        <v>20000</v>
      </c>
      <c r="I9" t="str">
        <f>PROPER(TRIM(ventas_raw_200[[#This Row],[Sucursal]]))</f>
        <v>Formosa</v>
      </c>
      <c r="J9" t="str">
        <f>PROPER(TRIM(ventas_raw_200[[#This Row],[Vendedor]]))</f>
        <v>Maria Gomez</v>
      </c>
      <c r="K9" t="str">
        <f>PROPER(TRIM(ventas_raw_200[[#This Row],[Producto]]))</f>
        <v>Alimento Gato Castrado 10Kg</v>
      </c>
      <c r="L9">
        <f>LEN(ventas_raw_200[[#This Row],[ID_Transaccion]])</f>
        <v>8</v>
      </c>
      <c r="M9" t="str">
        <f>TRIM(ventas_raw_200[[#This Row],[ID_Transaccion]])</f>
        <v>TRX-1008</v>
      </c>
      <c r="N9">
        <f>LEN(ventas_raw_200[[#This Row],[ID_Transaccion_Limpio]])</f>
        <v>8</v>
      </c>
      <c r="O9" s="2">
        <f>IFERROR(IF(ventas_raw_200[[#This Row],[Cantidad]]&lt;0,1,ventas_raw_200[[#This Row],[Cantidad]]),1)</f>
        <v>8</v>
      </c>
      <c r="P9" t="str">
        <f>IFERROR(_xlfn.XLOOKUP(K9,maestro_productos_15!$B$2:$B$16,maestro_productos_15!$C$2:$C$16),"No encontrada")</f>
        <v>Mascotas</v>
      </c>
      <c r="Q9" t="str">
        <f>IFERROR(_xlfn.XLOOKUP(K9,maestro_productos_15!$B$2:$B$16,maestro_productos_15!$D$2:$D$16),"No encontrada")</f>
        <v>NutriDog Arg</v>
      </c>
      <c r="R9">
        <f>ventas_raw_200[[#This Row],[Precio_Unitario]]*ventas_raw_200[[#This Row],[Cantidad_Auditada]]</f>
        <v>236000</v>
      </c>
      <c r="S9">
        <f>ventas_raw_200[[#This Row],[Costo_Unitario]]*ventas_raw_200[[#This Row],[Cantidad_Auditada]]</f>
        <v>160000</v>
      </c>
      <c r="T9">
        <f>ventas_raw_200[[#This Row],[Total_Venta]]-ventas_raw_200[[#This Row],[Total_Costo]]</f>
        <v>76000</v>
      </c>
      <c r="U9" s="3" cm="1">
        <f t="array" ref="U9">_xlfn.IFS(AND(G9&gt;25000,I9="Corrientes"),O9*G9*0.06,G9&gt;25000,O9*G9*0.04,TRUE,O9*G9*0.02)</f>
        <v>9440</v>
      </c>
    </row>
    <row r="10" spans="1:24" x14ac:dyDescent="0.25">
      <c r="A10" t="s">
        <v>32</v>
      </c>
      <c r="B10" s="1">
        <v>46111</v>
      </c>
      <c r="C10" t="s">
        <v>19</v>
      </c>
      <c r="D10" t="s">
        <v>33</v>
      </c>
      <c r="E10" t="s">
        <v>34</v>
      </c>
      <c r="F10">
        <v>7</v>
      </c>
      <c r="G10">
        <v>22000</v>
      </c>
      <c r="H10">
        <v>14000</v>
      </c>
      <c r="I10" t="str">
        <f>PROPER(TRIM(ventas_raw_200[[#This Row],[Sucursal]]))</f>
        <v>Resistencia</v>
      </c>
      <c r="J10" t="str">
        <f>PROPER(TRIM(ventas_raw_200[[#This Row],[Vendedor]]))</f>
        <v>Juan Perez</v>
      </c>
      <c r="K10" t="str">
        <f>PROPER(TRIM(ventas_raw_200[[#This Row],[Producto]]))</f>
        <v>Cargador Rápido Usb-C 65W</v>
      </c>
      <c r="L10">
        <f>LEN(ventas_raw_200[[#This Row],[ID_Transaccion]])</f>
        <v>8</v>
      </c>
      <c r="M10" t="str">
        <f>TRIM(ventas_raw_200[[#This Row],[ID_Transaccion]])</f>
        <v>TRX-1009</v>
      </c>
      <c r="N10">
        <f>LEN(ventas_raw_200[[#This Row],[ID_Transaccion_Limpio]])</f>
        <v>8</v>
      </c>
      <c r="O10" s="2">
        <f>IFERROR(IF(ventas_raw_200[[#This Row],[Cantidad]]&lt;0,1,ventas_raw_200[[#This Row],[Cantidad]]),1)</f>
        <v>7</v>
      </c>
      <c r="P10" t="str">
        <f>IFERROR(_xlfn.XLOOKUP(K10,maestro_productos_15!$B$2:$B$16,maestro_productos_15!$C$2:$C$16),"No encontrada")</f>
        <v>Tecnología</v>
      </c>
      <c r="Q10" t="str">
        <f>IFERROR(_xlfn.XLOOKUP(K10,maestro_productos_15!$B$2:$B$16,maestro_productos_15!$D$2:$D$16),"No encontrada")</f>
        <v>TechImport S.R.L.</v>
      </c>
      <c r="R10">
        <f>ventas_raw_200[[#This Row],[Precio_Unitario]]*ventas_raw_200[[#This Row],[Cantidad_Auditada]]</f>
        <v>154000</v>
      </c>
      <c r="S10">
        <f>ventas_raw_200[[#This Row],[Costo_Unitario]]*ventas_raw_200[[#This Row],[Cantidad_Auditada]]</f>
        <v>98000</v>
      </c>
      <c r="T10">
        <f>ventas_raw_200[[#This Row],[Total_Venta]]-ventas_raw_200[[#This Row],[Total_Costo]]</f>
        <v>56000</v>
      </c>
      <c r="U10" s="3" cm="1">
        <f t="array" ref="U10">_xlfn.IFS(AND(G10&gt;25000,I10="Corrientes"),O10*G10*0.06,G10&gt;25000,O10*G10*0.04,TRUE,O10*G10*0.02)</f>
        <v>3080</v>
      </c>
    </row>
    <row r="11" spans="1:24" x14ac:dyDescent="0.25">
      <c r="A11" t="s">
        <v>35</v>
      </c>
      <c r="B11" s="1">
        <v>46076</v>
      </c>
      <c r="C11" t="s">
        <v>13</v>
      </c>
      <c r="D11" t="s">
        <v>10</v>
      </c>
      <c r="E11" t="s">
        <v>36</v>
      </c>
      <c r="F11">
        <v>24</v>
      </c>
      <c r="G11">
        <v>3100</v>
      </c>
      <c r="H11">
        <v>1800</v>
      </c>
      <c r="I11" t="str">
        <f>PROPER(TRIM(ventas_raw_200[[#This Row],[Sucursal]]))</f>
        <v>Posadas</v>
      </c>
      <c r="J11" t="str">
        <f>PROPER(TRIM(ventas_raw_200[[#This Row],[Vendedor]]))</f>
        <v>Ana Martinez</v>
      </c>
      <c r="K11" t="str">
        <f>PROPER(TRIM(ventas_raw_200[[#This Row],[Producto]]))</f>
        <v>Snack Premios Perro 250G</v>
      </c>
      <c r="L11">
        <f>LEN(ventas_raw_200[[#This Row],[ID_Transaccion]])</f>
        <v>8</v>
      </c>
      <c r="M11" t="str">
        <f>TRIM(ventas_raw_200[[#This Row],[ID_Transaccion]])</f>
        <v>TRX-1010</v>
      </c>
      <c r="N11">
        <f>LEN(ventas_raw_200[[#This Row],[ID_Transaccion_Limpio]])</f>
        <v>8</v>
      </c>
      <c r="O11" s="2">
        <f>IFERROR(IF(ventas_raw_200[[#This Row],[Cantidad]]&lt;0,1,ventas_raw_200[[#This Row],[Cantidad]]),1)</f>
        <v>24</v>
      </c>
      <c r="P11" t="str">
        <f>IFERROR(_xlfn.XLOOKUP(K11,maestro_productos_15!$B$2:$B$16,maestro_productos_15!$C$2:$C$16),"No encontrada")</f>
        <v>Mascotas</v>
      </c>
      <c r="Q11" t="str">
        <f>IFERROR(_xlfn.XLOOKUP(K11,maestro_productos_15!$B$2:$B$16,maestro_productos_15!$D$2:$D$16),"No encontrada")</f>
        <v>NutriDog Arg</v>
      </c>
      <c r="R11">
        <f>ventas_raw_200[[#This Row],[Precio_Unitario]]*ventas_raw_200[[#This Row],[Cantidad_Auditada]]</f>
        <v>74400</v>
      </c>
      <c r="S11">
        <f>ventas_raw_200[[#This Row],[Costo_Unitario]]*ventas_raw_200[[#This Row],[Cantidad_Auditada]]</f>
        <v>43200</v>
      </c>
      <c r="T11">
        <f>ventas_raw_200[[#This Row],[Total_Venta]]-ventas_raw_200[[#This Row],[Total_Costo]]</f>
        <v>31200</v>
      </c>
      <c r="U11" s="3" cm="1">
        <f t="array" ref="U11">_xlfn.IFS(AND(G11&gt;25000,I11="Corrientes"),O11*G11*0.06,G11&gt;25000,O11*G11*0.04,TRUE,O11*G11*0.02)</f>
        <v>1488</v>
      </c>
    </row>
    <row r="12" spans="1:24" x14ac:dyDescent="0.25">
      <c r="A12" t="s">
        <v>37</v>
      </c>
      <c r="B12" s="1">
        <v>46024</v>
      </c>
      <c r="C12" t="s">
        <v>38</v>
      </c>
      <c r="D12" t="s">
        <v>10</v>
      </c>
      <c r="E12" t="s">
        <v>31</v>
      </c>
      <c r="F12">
        <v>22</v>
      </c>
      <c r="G12">
        <v>29500</v>
      </c>
      <c r="H12">
        <v>20000</v>
      </c>
      <c r="I12" t="str">
        <f>PROPER(TRIM(ventas_raw_200[[#This Row],[Sucursal]]))</f>
        <v>Posadas</v>
      </c>
      <c r="J12" t="str">
        <f>PROPER(TRIM(ventas_raw_200[[#This Row],[Vendedor]]))</f>
        <v>Ana Martinez</v>
      </c>
      <c r="K12" t="str">
        <f>PROPER(TRIM(ventas_raw_200[[#This Row],[Producto]]))</f>
        <v>Alimento Gato Castrado 10Kg</v>
      </c>
      <c r="L12">
        <f>LEN(ventas_raw_200[[#This Row],[ID_Transaccion]])</f>
        <v>8</v>
      </c>
      <c r="M12" t="str">
        <f>TRIM(ventas_raw_200[[#This Row],[ID_Transaccion]])</f>
        <v>TRX-1011</v>
      </c>
      <c r="N12">
        <f>LEN(ventas_raw_200[[#This Row],[ID_Transaccion_Limpio]])</f>
        <v>8</v>
      </c>
      <c r="O12" s="2">
        <f>IFERROR(IF(ventas_raw_200[[#This Row],[Cantidad]]&lt;0,1,ventas_raw_200[[#This Row],[Cantidad]]),1)</f>
        <v>22</v>
      </c>
      <c r="P12" t="str">
        <f>IFERROR(_xlfn.XLOOKUP(K12,maestro_productos_15!$B$2:$B$16,maestro_productos_15!$C$2:$C$16),"No encontrada")</f>
        <v>Mascotas</v>
      </c>
      <c r="Q12" t="str">
        <f>IFERROR(_xlfn.XLOOKUP(K12,maestro_productos_15!$B$2:$B$16,maestro_productos_15!$D$2:$D$16),"No encontrada")</f>
        <v>NutriDog Arg</v>
      </c>
      <c r="R12">
        <f>ventas_raw_200[[#This Row],[Precio_Unitario]]*ventas_raw_200[[#This Row],[Cantidad_Auditada]]</f>
        <v>649000</v>
      </c>
      <c r="S12">
        <f>ventas_raw_200[[#This Row],[Costo_Unitario]]*ventas_raw_200[[#This Row],[Cantidad_Auditada]]</f>
        <v>440000</v>
      </c>
      <c r="T12">
        <f>ventas_raw_200[[#This Row],[Total_Venta]]-ventas_raw_200[[#This Row],[Total_Costo]]</f>
        <v>209000</v>
      </c>
      <c r="U12" s="3" cm="1">
        <f t="array" ref="U12">_xlfn.IFS(AND(G12&gt;25000,I12="Corrientes"),O12*G12*0.06,G12&gt;25000,O12*G12*0.04,TRUE,O12*G12*0.02)</f>
        <v>25960</v>
      </c>
    </row>
    <row r="13" spans="1:24" x14ac:dyDescent="0.25">
      <c r="A13" t="s">
        <v>39</v>
      </c>
      <c r="B13" s="1">
        <v>46099</v>
      </c>
      <c r="C13" t="s">
        <v>9</v>
      </c>
      <c r="D13" t="s">
        <v>20</v>
      </c>
      <c r="E13" t="s">
        <v>15</v>
      </c>
      <c r="F13">
        <v>9</v>
      </c>
      <c r="G13">
        <v>32000</v>
      </c>
      <c r="H13">
        <v>21000</v>
      </c>
      <c r="I13" t="str">
        <f>PROPER(TRIM(ventas_raw_200[[#This Row],[Sucursal]]))</f>
        <v>Corrientes</v>
      </c>
      <c r="J13" t="str">
        <f>PROPER(TRIM(ventas_raw_200[[#This Row],[Vendedor]]))</f>
        <v>Ana Martinez</v>
      </c>
      <c r="K13" t="str">
        <f>PROPER(TRIM(ventas_raw_200[[#This Row],[Producto]]))</f>
        <v>Termo Acero Inoxidable 1.3L</v>
      </c>
      <c r="L13">
        <f>LEN(ventas_raw_200[[#This Row],[ID_Transaccion]])</f>
        <v>8</v>
      </c>
      <c r="M13" t="str">
        <f>TRIM(ventas_raw_200[[#This Row],[ID_Transaccion]])</f>
        <v>TRX-1012</v>
      </c>
      <c r="N13">
        <f>LEN(ventas_raw_200[[#This Row],[ID_Transaccion_Limpio]])</f>
        <v>8</v>
      </c>
      <c r="O13" s="2">
        <f>IFERROR(IF(ventas_raw_200[[#This Row],[Cantidad]]&lt;0,1,ventas_raw_200[[#This Row],[Cantidad]]),1)</f>
        <v>9</v>
      </c>
      <c r="P13" t="str">
        <f>IFERROR(_xlfn.XLOOKUP(K13,maestro_productos_15!$B$2:$B$16,maestro_productos_15!$C$2:$C$16),"No encontrada")</f>
        <v>Bazar</v>
      </c>
      <c r="Q13" t="str">
        <f>IFERROR(_xlfn.XLOOKUP(K13,maestro_productos_15!$B$2:$B$16,maestro_productos_15!$D$2:$D$16),"No encontrada")</f>
        <v>Distribuidora del Nordeste</v>
      </c>
      <c r="R13">
        <f>ventas_raw_200[[#This Row],[Precio_Unitario]]*ventas_raw_200[[#This Row],[Cantidad_Auditada]]</f>
        <v>288000</v>
      </c>
      <c r="S13">
        <f>ventas_raw_200[[#This Row],[Costo_Unitario]]*ventas_raw_200[[#This Row],[Cantidad_Auditada]]</f>
        <v>189000</v>
      </c>
      <c r="T13">
        <f>ventas_raw_200[[#This Row],[Total_Venta]]-ventas_raw_200[[#This Row],[Total_Costo]]</f>
        <v>99000</v>
      </c>
      <c r="U13" s="3" cm="1">
        <f t="array" ref="U13">_xlfn.IFS(AND(G13&gt;25000,I13="Corrientes"),O13*G13*0.06,G13&gt;25000,O13*G13*0.04,TRUE,O13*G13*0.02)</f>
        <v>17280</v>
      </c>
    </row>
    <row r="14" spans="1:24" x14ac:dyDescent="0.25">
      <c r="A14" t="s">
        <v>40</v>
      </c>
      <c r="B14" s="1">
        <v>46084</v>
      </c>
      <c r="C14" t="s">
        <v>19</v>
      </c>
      <c r="D14" t="s">
        <v>33</v>
      </c>
      <c r="E14" t="s">
        <v>41</v>
      </c>
      <c r="F14">
        <v>13</v>
      </c>
      <c r="G14">
        <v>4800</v>
      </c>
      <c r="H14">
        <v>2700</v>
      </c>
      <c r="I14" t="str">
        <f>PROPER(TRIM(ventas_raw_200[[#This Row],[Sucursal]]))</f>
        <v>Resistencia</v>
      </c>
      <c r="J14" t="str">
        <f>PROPER(TRIM(ventas_raw_200[[#This Row],[Vendedor]]))</f>
        <v>Juan Perez</v>
      </c>
      <c r="K14" t="str">
        <f>PROPER(TRIM(ventas_raw_200[[#This Row],[Producto]]))</f>
        <v>Juguete Mordillo Goma</v>
      </c>
      <c r="L14">
        <f>LEN(ventas_raw_200[[#This Row],[ID_Transaccion]])</f>
        <v>8</v>
      </c>
      <c r="M14" t="str">
        <f>TRIM(ventas_raw_200[[#This Row],[ID_Transaccion]])</f>
        <v>TRX-1013</v>
      </c>
      <c r="N14">
        <f>LEN(ventas_raw_200[[#This Row],[ID_Transaccion_Limpio]])</f>
        <v>8</v>
      </c>
      <c r="O14" s="2">
        <f>IFERROR(IF(ventas_raw_200[[#This Row],[Cantidad]]&lt;0,1,ventas_raw_200[[#This Row],[Cantidad]]),1)</f>
        <v>13</v>
      </c>
      <c r="P14" t="str">
        <f>IFERROR(_xlfn.XLOOKUP(K14,maestro_productos_15!$B$2:$B$16,maestro_productos_15!$C$2:$C$16),"No encontrada")</f>
        <v>Mascotas</v>
      </c>
      <c r="Q14" t="str">
        <f>IFERROR(_xlfn.XLOOKUP(K14,maestro_productos_15!$B$2:$B$16,maestro_productos_15!$D$2:$D$16),"No encontrada")</f>
        <v>PetStyle Litoral</v>
      </c>
      <c r="R14">
        <f>ventas_raw_200[[#This Row],[Precio_Unitario]]*ventas_raw_200[[#This Row],[Cantidad_Auditada]]</f>
        <v>62400</v>
      </c>
      <c r="S14">
        <f>ventas_raw_200[[#This Row],[Costo_Unitario]]*ventas_raw_200[[#This Row],[Cantidad_Auditada]]</f>
        <v>35100</v>
      </c>
      <c r="T14">
        <f>ventas_raw_200[[#This Row],[Total_Venta]]-ventas_raw_200[[#This Row],[Total_Costo]]</f>
        <v>27300</v>
      </c>
      <c r="U14" s="3" cm="1">
        <f t="array" ref="U14">_xlfn.IFS(AND(G14&gt;25000,I14="Corrientes"),O14*G14*0.06,G14&gt;25000,O14*G14*0.04,TRUE,O14*G14*0.02)</f>
        <v>1248</v>
      </c>
    </row>
    <row r="15" spans="1:24" x14ac:dyDescent="0.25">
      <c r="A15" t="s">
        <v>42</v>
      </c>
      <c r="B15" s="1">
        <v>46026</v>
      </c>
      <c r="C15" t="s">
        <v>23</v>
      </c>
      <c r="D15" t="s">
        <v>10</v>
      </c>
      <c r="E15" t="s">
        <v>43</v>
      </c>
      <c r="F15">
        <v>9</v>
      </c>
      <c r="G15">
        <v>6200</v>
      </c>
      <c r="H15">
        <v>3800</v>
      </c>
      <c r="I15" t="str">
        <f>PROPER(TRIM(ventas_raw_200[[#This Row],[Sucursal]]))</f>
        <v>Corrientes</v>
      </c>
      <c r="J15" t="str">
        <f>PROPER(TRIM(ventas_raw_200[[#This Row],[Vendedor]]))</f>
        <v>Ana Martinez</v>
      </c>
      <c r="K15" t="str">
        <f>PROPER(TRIM(ventas_raw_200[[#This Row],[Producto]]))</f>
        <v>Shampoo Canino Neutro 500Ml</v>
      </c>
      <c r="L15">
        <f>LEN(ventas_raw_200[[#This Row],[ID_Transaccion]])</f>
        <v>8</v>
      </c>
      <c r="M15" t="str">
        <f>TRIM(ventas_raw_200[[#This Row],[ID_Transaccion]])</f>
        <v>TRX-1014</v>
      </c>
      <c r="N15">
        <f>LEN(ventas_raw_200[[#This Row],[ID_Transaccion_Limpio]])</f>
        <v>8</v>
      </c>
      <c r="O15" s="2">
        <f>IFERROR(IF(ventas_raw_200[[#This Row],[Cantidad]]&lt;0,1,ventas_raw_200[[#This Row],[Cantidad]]),1)</f>
        <v>9</v>
      </c>
      <c r="P15" t="str">
        <f>IFERROR(_xlfn.XLOOKUP(K15,maestro_productos_15!$B$2:$B$16,maestro_productos_15!$C$2:$C$16),"No encontrada")</f>
        <v>Mascotas</v>
      </c>
      <c r="Q15" t="str">
        <f>IFERROR(_xlfn.XLOOKUP(K15,maestro_productos_15!$B$2:$B$16,maestro_productos_15!$D$2:$D$16),"No encontrada")</f>
        <v>PetStyle Litoral</v>
      </c>
      <c r="R15">
        <f>ventas_raw_200[[#This Row],[Precio_Unitario]]*ventas_raw_200[[#This Row],[Cantidad_Auditada]]</f>
        <v>55800</v>
      </c>
      <c r="S15">
        <f>ventas_raw_200[[#This Row],[Costo_Unitario]]*ventas_raw_200[[#This Row],[Cantidad_Auditada]]</f>
        <v>34200</v>
      </c>
      <c r="T15">
        <f>ventas_raw_200[[#This Row],[Total_Venta]]-ventas_raw_200[[#This Row],[Total_Costo]]</f>
        <v>21600</v>
      </c>
      <c r="U15" s="3" cm="1">
        <f t="array" ref="U15">_xlfn.IFS(AND(G15&gt;25000,I15="Corrientes"),O15*G15*0.06,G15&gt;25000,O15*G15*0.04,TRUE,O15*G15*0.02)</f>
        <v>1116</v>
      </c>
    </row>
    <row r="16" spans="1:24" x14ac:dyDescent="0.25">
      <c r="A16" t="s">
        <v>44</v>
      </c>
      <c r="B16" s="1">
        <v>46086</v>
      </c>
      <c r="C16" t="s">
        <v>23</v>
      </c>
      <c r="D16" t="s">
        <v>33</v>
      </c>
      <c r="E16" t="s">
        <v>36</v>
      </c>
      <c r="F16">
        <v>3</v>
      </c>
      <c r="G16">
        <v>3100</v>
      </c>
      <c r="H16">
        <v>1800</v>
      </c>
      <c r="I16" t="str">
        <f>PROPER(TRIM(ventas_raw_200[[#This Row],[Sucursal]]))</f>
        <v>Corrientes</v>
      </c>
      <c r="J16" t="str">
        <f>PROPER(TRIM(ventas_raw_200[[#This Row],[Vendedor]]))</f>
        <v>Juan Perez</v>
      </c>
      <c r="K16" t="str">
        <f>PROPER(TRIM(ventas_raw_200[[#This Row],[Producto]]))</f>
        <v>Snack Premios Perro 250G</v>
      </c>
      <c r="L16">
        <f>LEN(ventas_raw_200[[#This Row],[ID_Transaccion]])</f>
        <v>8</v>
      </c>
      <c r="M16" t="str">
        <f>TRIM(ventas_raw_200[[#This Row],[ID_Transaccion]])</f>
        <v>TRX-1015</v>
      </c>
      <c r="N16">
        <f>LEN(ventas_raw_200[[#This Row],[ID_Transaccion_Limpio]])</f>
        <v>8</v>
      </c>
      <c r="O16" s="2">
        <f>IFERROR(IF(ventas_raw_200[[#This Row],[Cantidad]]&lt;0,1,ventas_raw_200[[#This Row],[Cantidad]]),1)</f>
        <v>3</v>
      </c>
      <c r="P16" t="str">
        <f>IFERROR(_xlfn.XLOOKUP(K16,maestro_productos_15!$B$2:$B$16,maestro_productos_15!$C$2:$C$16),"No encontrada")</f>
        <v>Mascotas</v>
      </c>
      <c r="Q16" t="str">
        <f>IFERROR(_xlfn.XLOOKUP(K16,maestro_productos_15!$B$2:$B$16,maestro_productos_15!$D$2:$D$16),"No encontrada")</f>
        <v>NutriDog Arg</v>
      </c>
      <c r="R16">
        <f>ventas_raw_200[[#This Row],[Precio_Unitario]]*ventas_raw_200[[#This Row],[Cantidad_Auditada]]</f>
        <v>9300</v>
      </c>
      <c r="S16">
        <f>ventas_raw_200[[#This Row],[Costo_Unitario]]*ventas_raw_200[[#This Row],[Cantidad_Auditada]]</f>
        <v>5400</v>
      </c>
      <c r="T16">
        <f>ventas_raw_200[[#This Row],[Total_Venta]]-ventas_raw_200[[#This Row],[Total_Costo]]</f>
        <v>3900</v>
      </c>
      <c r="U16" s="3" cm="1">
        <f t="array" ref="U16">_xlfn.IFS(AND(G16&gt;25000,I16="Corrientes"),O16*G16*0.06,G16&gt;25000,O16*G16*0.04,TRUE,O16*G16*0.02)</f>
        <v>186</v>
      </c>
    </row>
    <row r="17" spans="1:21" x14ac:dyDescent="0.25">
      <c r="A17" t="s">
        <v>45</v>
      </c>
      <c r="B17" s="1">
        <v>46094</v>
      </c>
      <c r="C17" t="s">
        <v>25</v>
      </c>
      <c r="D17" t="s">
        <v>10</v>
      </c>
      <c r="E17" t="s">
        <v>28</v>
      </c>
      <c r="F17">
        <v>3</v>
      </c>
      <c r="G17">
        <v>35000</v>
      </c>
      <c r="H17">
        <v>24000</v>
      </c>
      <c r="I17" t="str">
        <f>PROPER(TRIM(ventas_raw_200[[#This Row],[Sucursal]]))</f>
        <v>Formosa</v>
      </c>
      <c r="J17" t="str">
        <f>PROPER(TRIM(ventas_raw_200[[#This Row],[Vendedor]]))</f>
        <v>Ana Martinez</v>
      </c>
      <c r="K17" t="str">
        <f>PROPER(TRIM(ventas_raw_200[[#This Row],[Producto]]))</f>
        <v>Alimento Perro Adulto 15Kg</v>
      </c>
      <c r="L17">
        <f>LEN(ventas_raw_200[[#This Row],[ID_Transaccion]])</f>
        <v>8</v>
      </c>
      <c r="M17" t="str">
        <f>TRIM(ventas_raw_200[[#This Row],[ID_Transaccion]])</f>
        <v>TRX-1016</v>
      </c>
      <c r="N17">
        <f>LEN(ventas_raw_200[[#This Row],[ID_Transaccion_Limpio]])</f>
        <v>8</v>
      </c>
      <c r="O17" s="2">
        <f>IFERROR(IF(ventas_raw_200[[#This Row],[Cantidad]]&lt;0,1,ventas_raw_200[[#This Row],[Cantidad]]),1)</f>
        <v>3</v>
      </c>
      <c r="P17" t="str">
        <f>IFERROR(_xlfn.XLOOKUP(K17,maestro_productos_15!$B$2:$B$16,maestro_productos_15!$C$2:$C$16),"No encontrada")</f>
        <v>Mascotas</v>
      </c>
      <c r="Q17" t="str">
        <f>IFERROR(_xlfn.XLOOKUP(K17,maestro_productos_15!$B$2:$B$16,maestro_productos_15!$D$2:$D$16),"No encontrada")</f>
        <v>NutriDog Arg</v>
      </c>
      <c r="R17">
        <f>ventas_raw_200[[#This Row],[Precio_Unitario]]*ventas_raw_200[[#This Row],[Cantidad_Auditada]]</f>
        <v>105000</v>
      </c>
      <c r="S17">
        <f>ventas_raw_200[[#This Row],[Costo_Unitario]]*ventas_raw_200[[#This Row],[Cantidad_Auditada]]</f>
        <v>72000</v>
      </c>
      <c r="T17">
        <f>ventas_raw_200[[#This Row],[Total_Venta]]-ventas_raw_200[[#This Row],[Total_Costo]]</f>
        <v>33000</v>
      </c>
      <c r="U17" s="3" cm="1">
        <f t="array" ref="U17">_xlfn.IFS(AND(G17&gt;25000,I17="Corrientes"),O17*G17*0.06,G17&gt;25000,O17*G17*0.04,TRUE,O17*G17*0.02)</f>
        <v>4200</v>
      </c>
    </row>
    <row r="18" spans="1:21" x14ac:dyDescent="0.25">
      <c r="A18" t="s">
        <v>46</v>
      </c>
      <c r="B18" s="1">
        <v>46112</v>
      </c>
      <c r="C18" t="s">
        <v>13</v>
      </c>
      <c r="D18" t="s">
        <v>20</v>
      </c>
      <c r="E18" t="s">
        <v>21</v>
      </c>
      <c r="F18">
        <v>22</v>
      </c>
      <c r="G18">
        <v>3800</v>
      </c>
      <c r="H18">
        <v>2500</v>
      </c>
      <c r="I18" t="str">
        <f>PROPER(TRIM(ventas_raw_200[[#This Row],[Sucursal]]))</f>
        <v>Posadas</v>
      </c>
      <c r="J18" t="str">
        <f>PROPER(TRIM(ventas_raw_200[[#This Row],[Vendedor]]))</f>
        <v>Ana Martinez</v>
      </c>
      <c r="K18" t="str">
        <f>PROPER(TRIM(ventas_raw_200[[#This Row],[Producto]]))</f>
        <v>Yerba Mate Premium 1Kg</v>
      </c>
      <c r="L18">
        <f>LEN(ventas_raw_200[[#This Row],[ID_Transaccion]])</f>
        <v>8</v>
      </c>
      <c r="M18" t="str">
        <f>TRIM(ventas_raw_200[[#This Row],[ID_Transaccion]])</f>
        <v>TRX-1017</v>
      </c>
      <c r="N18">
        <f>LEN(ventas_raw_200[[#This Row],[ID_Transaccion_Limpio]])</f>
        <v>8</v>
      </c>
      <c r="O18" s="2">
        <f>IFERROR(IF(ventas_raw_200[[#This Row],[Cantidad]]&lt;0,1,ventas_raw_200[[#This Row],[Cantidad]]),1)</f>
        <v>22</v>
      </c>
      <c r="P18" t="str">
        <f>IFERROR(_xlfn.XLOOKUP(K18,maestro_productos_15!$B$2:$B$16,maestro_productos_15!$C$2:$C$16),"No encontrada")</f>
        <v>Alimentos</v>
      </c>
      <c r="Q18" t="str">
        <f>IFERROR(_xlfn.XLOOKUP(K18,maestro_productos_15!$B$2:$B$16,maestro_productos_15!$D$2:$D$16),"No encontrada")</f>
        <v>Cooperativa Neike</v>
      </c>
      <c r="R18">
        <f>ventas_raw_200[[#This Row],[Precio_Unitario]]*ventas_raw_200[[#This Row],[Cantidad_Auditada]]</f>
        <v>83600</v>
      </c>
      <c r="S18">
        <f>ventas_raw_200[[#This Row],[Costo_Unitario]]*ventas_raw_200[[#This Row],[Cantidad_Auditada]]</f>
        <v>55000</v>
      </c>
      <c r="T18">
        <f>ventas_raw_200[[#This Row],[Total_Venta]]-ventas_raw_200[[#This Row],[Total_Costo]]</f>
        <v>28600</v>
      </c>
      <c r="U18" s="3" cm="1">
        <f t="array" ref="U18">_xlfn.IFS(AND(G18&gt;25000,I18="Corrientes"),O18*G18*0.06,G18&gt;25000,O18*G18*0.04,TRUE,O18*G18*0.02)</f>
        <v>1672</v>
      </c>
    </row>
    <row r="19" spans="1:21" x14ac:dyDescent="0.25">
      <c r="A19" t="s">
        <v>47</v>
      </c>
      <c r="B19" s="1">
        <v>46031</v>
      </c>
      <c r="C19" t="s">
        <v>25</v>
      </c>
      <c r="D19" t="s">
        <v>10</v>
      </c>
      <c r="E19" t="s">
        <v>28</v>
      </c>
      <c r="F19">
        <v>10</v>
      </c>
      <c r="G19">
        <v>35000</v>
      </c>
      <c r="H19">
        <v>24000</v>
      </c>
      <c r="I19" t="str">
        <f>PROPER(TRIM(ventas_raw_200[[#This Row],[Sucursal]]))</f>
        <v>Formosa</v>
      </c>
      <c r="J19" t="str">
        <f>PROPER(TRIM(ventas_raw_200[[#This Row],[Vendedor]]))</f>
        <v>Ana Martinez</v>
      </c>
      <c r="K19" t="str">
        <f>PROPER(TRIM(ventas_raw_200[[#This Row],[Producto]]))</f>
        <v>Alimento Perro Adulto 15Kg</v>
      </c>
      <c r="L19">
        <f>LEN(ventas_raw_200[[#This Row],[ID_Transaccion]])</f>
        <v>8</v>
      </c>
      <c r="M19" t="str">
        <f>TRIM(ventas_raw_200[[#This Row],[ID_Transaccion]])</f>
        <v>TRX-1018</v>
      </c>
      <c r="N19">
        <f>LEN(ventas_raw_200[[#This Row],[ID_Transaccion_Limpio]])</f>
        <v>8</v>
      </c>
      <c r="O19" s="2">
        <f>IFERROR(IF(ventas_raw_200[[#This Row],[Cantidad]]&lt;0,1,ventas_raw_200[[#This Row],[Cantidad]]),1)</f>
        <v>10</v>
      </c>
      <c r="P19" t="str">
        <f>IFERROR(_xlfn.XLOOKUP(K19,maestro_productos_15!$B$2:$B$16,maestro_productos_15!$C$2:$C$16),"No encontrada")</f>
        <v>Mascotas</v>
      </c>
      <c r="Q19" t="str">
        <f>IFERROR(_xlfn.XLOOKUP(K19,maestro_productos_15!$B$2:$B$16,maestro_productos_15!$D$2:$D$16),"No encontrada")</f>
        <v>NutriDog Arg</v>
      </c>
      <c r="R19">
        <f>ventas_raw_200[[#This Row],[Precio_Unitario]]*ventas_raw_200[[#This Row],[Cantidad_Auditada]]</f>
        <v>350000</v>
      </c>
      <c r="S19">
        <f>ventas_raw_200[[#This Row],[Costo_Unitario]]*ventas_raw_200[[#This Row],[Cantidad_Auditada]]</f>
        <v>240000</v>
      </c>
      <c r="T19">
        <f>ventas_raw_200[[#This Row],[Total_Venta]]-ventas_raw_200[[#This Row],[Total_Costo]]</f>
        <v>110000</v>
      </c>
      <c r="U19" s="3" cm="1">
        <f t="array" ref="U19">_xlfn.IFS(AND(G19&gt;25000,I19="Corrientes"),O19*G19*0.06,G19&gt;25000,O19*G19*0.04,TRUE,O19*G19*0.02)</f>
        <v>14000</v>
      </c>
    </row>
    <row r="20" spans="1:21" x14ac:dyDescent="0.25">
      <c r="A20" t="s">
        <v>48</v>
      </c>
      <c r="B20" s="1">
        <v>46056</v>
      </c>
      <c r="C20" t="s">
        <v>19</v>
      </c>
      <c r="D20" t="s">
        <v>49</v>
      </c>
      <c r="E20" t="s">
        <v>50</v>
      </c>
      <c r="F20">
        <v>17</v>
      </c>
      <c r="G20">
        <v>32000</v>
      </c>
      <c r="H20">
        <v>21000</v>
      </c>
      <c r="I20" t="str">
        <f>PROPER(TRIM(ventas_raw_200[[#This Row],[Sucursal]]))</f>
        <v>Resistencia</v>
      </c>
      <c r="J20" t="str">
        <f>PROPER(TRIM(ventas_raw_200[[#This Row],[Vendedor]]))</f>
        <v>Carlos Ruiz</v>
      </c>
      <c r="K20" t="str">
        <f>PROPER(TRIM(ventas_raw_200[[#This Row],[Producto]]))</f>
        <v>Termo Acero Inoxidable 1.3L</v>
      </c>
      <c r="L20">
        <f>LEN(ventas_raw_200[[#This Row],[ID_Transaccion]])</f>
        <v>8</v>
      </c>
      <c r="M20" t="str">
        <f>TRIM(ventas_raw_200[[#This Row],[ID_Transaccion]])</f>
        <v>TRX-1019</v>
      </c>
      <c r="N20">
        <f>LEN(ventas_raw_200[[#This Row],[ID_Transaccion_Limpio]])</f>
        <v>8</v>
      </c>
      <c r="O20" s="2">
        <f>IFERROR(IF(ventas_raw_200[[#This Row],[Cantidad]]&lt;0,1,ventas_raw_200[[#This Row],[Cantidad]]),1)</f>
        <v>17</v>
      </c>
      <c r="P20" t="str">
        <f>IFERROR(_xlfn.XLOOKUP(K20,maestro_productos_15!$B$2:$B$16,maestro_productos_15!$C$2:$C$16),"No encontrada")</f>
        <v>Bazar</v>
      </c>
      <c r="Q20" t="str">
        <f>IFERROR(_xlfn.XLOOKUP(K20,maestro_productos_15!$B$2:$B$16,maestro_productos_15!$D$2:$D$16),"No encontrada")</f>
        <v>Distribuidora del Nordeste</v>
      </c>
      <c r="R20">
        <f>ventas_raw_200[[#This Row],[Precio_Unitario]]*ventas_raw_200[[#This Row],[Cantidad_Auditada]]</f>
        <v>544000</v>
      </c>
      <c r="S20">
        <f>ventas_raw_200[[#This Row],[Costo_Unitario]]*ventas_raw_200[[#This Row],[Cantidad_Auditada]]</f>
        <v>357000</v>
      </c>
      <c r="T20">
        <f>ventas_raw_200[[#This Row],[Total_Venta]]-ventas_raw_200[[#This Row],[Total_Costo]]</f>
        <v>187000</v>
      </c>
      <c r="U20" s="3" cm="1">
        <f t="array" ref="U20">_xlfn.IFS(AND(G20&gt;25000,I20="Corrientes"),O20*G20*0.06,G20&gt;25000,O20*G20*0.04,TRUE,O20*G20*0.02)</f>
        <v>21760</v>
      </c>
    </row>
    <row r="21" spans="1:21" x14ac:dyDescent="0.25">
      <c r="A21" t="s">
        <v>51</v>
      </c>
      <c r="B21" s="1">
        <v>46061</v>
      </c>
      <c r="C21" t="s">
        <v>13</v>
      </c>
      <c r="D21" t="s">
        <v>49</v>
      </c>
      <c r="E21" t="s">
        <v>36</v>
      </c>
      <c r="F21">
        <v>12</v>
      </c>
      <c r="G21">
        <v>3100</v>
      </c>
      <c r="H21">
        <v>1800</v>
      </c>
      <c r="I21" t="str">
        <f>PROPER(TRIM(ventas_raw_200[[#This Row],[Sucursal]]))</f>
        <v>Posadas</v>
      </c>
      <c r="J21" t="str">
        <f>PROPER(TRIM(ventas_raw_200[[#This Row],[Vendedor]]))</f>
        <v>Carlos Ruiz</v>
      </c>
      <c r="K21" t="str">
        <f>PROPER(TRIM(ventas_raw_200[[#This Row],[Producto]]))</f>
        <v>Snack Premios Perro 250G</v>
      </c>
      <c r="L21">
        <f>LEN(ventas_raw_200[[#This Row],[ID_Transaccion]])</f>
        <v>8</v>
      </c>
      <c r="M21" t="str">
        <f>TRIM(ventas_raw_200[[#This Row],[ID_Transaccion]])</f>
        <v>TRX-1020</v>
      </c>
      <c r="N21">
        <f>LEN(ventas_raw_200[[#This Row],[ID_Transaccion_Limpio]])</f>
        <v>8</v>
      </c>
      <c r="O21" s="2">
        <f>IFERROR(IF(ventas_raw_200[[#This Row],[Cantidad]]&lt;0,1,ventas_raw_200[[#This Row],[Cantidad]]),1)</f>
        <v>12</v>
      </c>
      <c r="P21" t="str">
        <f>IFERROR(_xlfn.XLOOKUP(K21,maestro_productos_15!$B$2:$B$16,maestro_productos_15!$C$2:$C$16),"No encontrada")</f>
        <v>Mascotas</v>
      </c>
      <c r="Q21" t="str">
        <f>IFERROR(_xlfn.XLOOKUP(K21,maestro_productos_15!$B$2:$B$16,maestro_productos_15!$D$2:$D$16),"No encontrada")</f>
        <v>NutriDog Arg</v>
      </c>
      <c r="R21">
        <f>ventas_raw_200[[#This Row],[Precio_Unitario]]*ventas_raw_200[[#This Row],[Cantidad_Auditada]]</f>
        <v>37200</v>
      </c>
      <c r="S21">
        <f>ventas_raw_200[[#This Row],[Costo_Unitario]]*ventas_raw_200[[#This Row],[Cantidad_Auditada]]</f>
        <v>21600</v>
      </c>
      <c r="T21">
        <f>ventas_raw_200[[#This Row],[Total_Venta]]-ventas_raw_200[[#This Row],[Total_Costo]]</f>
        <v>15600</v>
      </c>
      <c r="U21" s="3" cm="1">
        <f t="array" ref="U21">_xlfn.IFS(AND(G21&gt;25000,I21="Corrientes"),O21*G21*0.06,G21&gt;25000,O21*G21*0.04,TRUE,O21*G21*0.02)</f>
        <v>744</v>
      </c>
    </row>
    <row r="22" spans="1:21" x14ac:dyDescent="0.25">
      <c r="A22" t="s">
        <v>52</v>
      </c>
      <c r="B22" s="1">
        <v>46048</v>
      </c>
      <c r="C22" t="s">
        <v>9</v>
      </c>
      <c r="D22" t="s">
        <v>49</v>
      </c>
      <c r="E22" t="s">
        <v>53</v>
      </c>
      <c r="F22">
        <v>1</v>
      </c>
      <c r="G22">
        <v>15000</v>
      </c>
      <c r="H22">
        <v>9500</v>
      </c>
      <c r="I22" t="str">
        <f>PROPER(TRIM(ventas_raw_200[[#This Row],[Sucursal]]))</f>
        <v>Corrientes</v>
      </c>
      <c r="J22" t="str">
        <f>PROPER(TRIM(ventas_raw_200[[#This Row],[Vendedor]]))</f>
        <v>Carlos Ruiz</v>
      </c>
      <c r="K22" t="str">
        <f>PROPER(TRIM(ventas_raw_200[[#This Row],[Producto]]))</f>
        <v>Mouse Inalámbrico Ergonómico</v>
      </c>
      <c r="L22">
        <f>LEN(ventas_raw_200[[#This Row],[ID_Transaccion]])</f>
        <v>8</v>
      </c>
      <c r="M22" t="str">
        <f>TRIM(ventas_raw_200[[#This Row],[ID_Transaccion]])</f>
        <v>TRX-1021</v>
      </c>
      <c r="N22">
        <f>LEN(ventas_raw_200[[#This Row],[ID_Transaccion_Limpio]])</f>
        <v>8</v>
      </c>
      <c r="O22" s="2">
        <f>IFERROR(IF(ventas_raw_200[[#This Row],[Cantidad]]&lt;0,1,ventas_raw_200[[#This Row],[Cantidad]]),1)</f>
        <v>1</v>
      </c>
      <c r="P22" t="str">
        <f>IFERROR(_xlfn.XLOOKUP(K22,maestro_productos_15!$B$2:$B$16,maestro_productos_15!$C$2:$C$16),"No encontrada")</f>
        <v>Tecnología</v>
      </c>
      <c r="Q22" t="str">
        <f>IFERROR(_xlfn.XLOOKUP(K22,maestro_productos_15!$B$2:$B$16,maestro_productos_15!$D$2:$D$16),"No encontrada")</f>
        <v>TechImport S.R.L.</v>
      </c>
      <c r="R22">
        <f>ventas_raw_200[[#This Row],[Precio_Unitario]]*ventas_raw_200[[#This Row],[Cantidad_Auditada]]</f>
        <v>15000</v>
      </c>
      <c r="S22">
        <f>ventas_raw_200[[#This Row],[Costo_Unitario]]*ventas_raw_200[[#This Row],[Cantidad_Auditada]]</f>
        <v>9500</v>
      </c>
      <c r="T22">
        <f>ventas_raw_200[[#This Row],[Total_Venta]]-ventas_raw_200[[#This Row],[Total_Costo]]</f>
        <v>5500</v>
      </c>
      <c r="U22" s="3" cm="1">
        <f t="array" ref="U22">_xlfn.IFS(AND(G22&gt;25000,I22="Corrientes"),O22*G22*0.06,G22&gt;25000,O22*G22*0.04,TRUE,O22*G22*0.02)</f>
        <v>300</v>
      </c>
    </row>
    <row r="23" spans="1:21" x14ac:dyDescent="0.25">
      <c r="A23" t="s">
        <v>54</v>
      </c>
      <c r="B23" s="1">
        <v>46082</v>
      </c>
      <c r="C23" t="s">
        <v>25</v>
      </c>
      <c r="D23" t="s">
        <v>20</v>
      </c>
      <c r="E23" t="s">
        <v>28</v>
      </c>
      <c r="F23">
        <v>2</v>
      </c>
      <c r="G23">
        <v>35000</v>
      </c>
      <c r="H23">
        <v>24000</v>
      </c>
      <c r="I23" t="str">
        <f>PROPER(TRIM(ventas_raw_200[[#This Row],[Sucursal]]))</f>
        <v>Formosa</v>
      </c>
      <c r="J23" t="str">
        <f>PROPER(TRIM(ventas_raw_200[[#This Row],[Vendedor]]))</f>
        <v>Ana Martinez</v>
      </c>
      <c r="K23" t="str">
        <f>PROPER(TRIM(ventas_raw_200[[#This Row],[Producto]]))</f>
        <v>Alimento Perro Adulto 15Kg</v>
      </c>
      <c r="L23">
        <f>LEN(ventas_raw_200[[#This Row],[ID_Transaccion]])</f>
        <v>8</v>
      </c>
      <c r="M23" t="str">
        <f>TRIM(ventas_raw_200[[#This Row],[ID_Transaccion]])</f>
        <v>TRX-1022</v>
      </c>
      <c r="N23">
        <f>LEN(ventas_raw_200[[#This Row],[ID_Transaccion_Limpio]])</f>
        <v>8</v>
      </c>
      <c r="O23" s="2">
        <f>IFERROR(IF(ventas_raw_200[[#This Row],[Cantidad]]&lt;0,1,ventas_raw_200[[#This Row],[Cantidad]]),1)</f>
        <v>2</v>
      </c>
      <c r="P23" t="str">
        <f>IFERROR(_xlfn.XLOOKUP(K23,maestro_productos_15!$B$2:$B$16,maestro_productos_15!$C$2:$C$16),"No encontrada")</f>
        <v>Mascotas</v>
      </c>
      <c r="Q23" t="str">
        <f>IFERROR(_xlfn.XLOOKUP(K23,maestro_productos_15!$B$2:$B$16,maestro_productos_15!$D$2:$D$16),"No encontrada")</f>
        <v>NutriDog Arg</v>
      </c>
      <c r="R23">
        <f>ventas_raw_200[[#This Row],[Precio_Unitario]]*ventas_raw_200[[#This Row],[Cantidad_Auditada]]</f>
        <v>70000</v>
      </c>
      <c r="S23">
        <f>ventas_raw_200[[#This Row],[Costo_Unitario]]*ventas_raw_200[[#This Row],[Cantidad_Auditada]]</f>
        <v>48000</v>
      </c>
      <c r="T23">
        <f>ventas_raw_200[[#This Row],[Total_Venta]]-ventas_raw_200[[#This Row],[Total_Costo]]</f>
        <v>22000</v>
      </c>
      <c r="U23" s="3" cm="1">
        <f t="array" ref="U23">_xlfn.IFS(AND(G23&gt;25000,I23="Corrientes"),O23*G23*0.06,G23&gt;25000,O23*G23*0.04,TRUE,O23*G23*0.02)</f>
        <v>2800</v>
      </c>
    </row>
    <row r="24" spans="1:21" x14ac:dyDescent="0.25">
      <c r="A24" t="s">
        <v>55</v>
      </c>
      <c r="B24" s="1">
        <v>46050</v>
      </c>
      <c r="C24" t="s">
        <v>56</v>
      </c>
      <c r="D24" t="s">
        <v>20</v>
      </c>
      <c r="E24" t="s">
        <v>57</v>
      </c>
      <c r="F24">
        <v>25</v>
      </c>
      <c r="G24">
        <v>4800</v>
      </c>
      <c r="H24">
        <v>2700</v>
      </c>
      <c r="I24" t="str">
        <f>PROPER(TRIM(ventas_raw_200[[#This Row],[Sucursal]]))</f>
        <v>Resistencia</v>
      </c>
      <c r="J24" t="str">
        <f>PROPER(TRIM(ventas_raw_200[[#This Row],[Vendedor]]))</f>
        <v>Ana Martinez</v>
      </c>
      <c r="K24" t="str">
        <f>PROPER(TRIM(ventas_raw_200[[#This Row],[Producto]]))</f>
        <v>Juguete Mordillo Goma</v>
      </c>
      <c r="L24">
        <f>LEN(ventas_raw_200[[#This Row],[ID_Transaccion]])</f>
        <v>10</v>
      </c>
      <c r="M24" t="str">
        <f>TRIM(ventas_raw_200[[#This Row],[ID_Transaccion]])</f>
        <v>TRX-1023</v>
      </c>
      <c r="N24">
        <f>LEN(ventas_raw_200[[#This Row],[ID_Transaccion_Limpio]])</f>
        <v>8</v>
      </c>
      <c r="O24" s="2">
        <f>IFERROR(IF(ventas_raw_200[[#This Row],[Cantidad]]&lt;0,1,ventas_raw_200[[#This Row],[Cantidad]]),1)</f>
        <v>25</v>
      </c>
      <c r="P24" t="str">
        <f>IFERROR(_xlfn.XLOOKUP(K24,maestro_productos_15!$B$2:$B$16,maestro_productos_15!$C$2:$C$16),"No encontrada")</f>
        <v>Mascotas</v>
      </c>
      <c r="Q24" t="str">
        <f>IFERROR(_xlfn.XLOOKUP(K24,maestro_productos_15!$B$2:$B$16,maestro_productos_15!$D$2:$D$16),"No encontrada")</f>
        <v>PetStyle Litoral</v>
      </c>
      <c r="R24">
        <f>ventas_raw_200[[#This Row],[Precio_Unitario]]*ventas_raw_200[[#This Row],[Cantidad_Auditada]]</f>
        <v>120000</v>
      </c>
      <c r="S24">
        <f>ventas_raw_200[[#This Row],[Costo_Unitario]]*ventas_raw_200[[#This Row],[Cantidad_Auditada]]</f>
        <v>67500</v>
      </c>
      <c r="T24">
        <f>ventas_raw_200[[#This Row],[Total_Venta]]-ventas_raw_200[[#This Row],[Total_Costo]]</f>
        <v>52500</v>
      </c>
      <c r="U24" s="3" cm="1">
        <f t="array" ref="U24">_xlfn.IFS(AND(G24&gt;25000,I24="Corrientes"),O24*G24*0.06,G24&gt;25000,O24*G24*0.04,TRUE,O24*G24*0.02)</f>
        <v>2400</v>
      </c>
    </row>
    <row r="25" spans="1:21" x14ac:dyDescent="0.25">
      <c r="A25" t="s">
        <v>58</v>
      </c>
      <c r="B25" s="1">
        <v>46036</v>
      </c>
      <c r="C25" t="s">
        <v>13</v>
      </c>
      <c r="D25" t="s">
        <v>33</v>
      </c>
      <c r="E25" t="s">
        <v>31</v>
      </c>
      <c r="F25">
        <v>20</v>
      </c>
      <c r="G25">
        <v>29500</v>
      </c>
      <c r="H25">
        <v>20000</v>
      </c>
      <c r="I25" t="str">
        <f>PROPER(TRIM(ventas_raw_200[[#This Row],[Sucursal]]))</f>
        <v>Posadas</v>
      </c>
      <c r="J25" t="str">
        <f>PROPER(TRIM(ventas_raw_200[[#This Row],[Vendedor]]))</f>
        <v>Juan Perez</v>
      </c>
      <c r="K25" t="str">
        <f>PROPER(TRIM(ventas_raw_200[[#This Row],[Producto]]))</f>
        <v>Alimento Gato Castrado 10Kg</v>
      </c>
      <c r="L25">
        <f>LEN(ventas_raw_200[[#This Row],[ID_Transaccion]])</f>
        <v>8</v>
      </c>
      <c r="M25" t="str">
        <f>TRIM(ventas_raw_200[[#This Row],[ID_Transaccion]])</f>
        <v>TRX-1024</v>
      </c>
      <c r="N25">
        <f>LEN(ventas_raw_200[[#This Row],[ID_Transaccion_Limpio]])</f>
        <v>8</v>
      </c>
      <c r="O25" s="2">
        <f>IFERROR(IF(ventas_raw_200[[#This Row],[Cantidad]]&lt;0,1,ventas_raw_200[[#This Row],[Cantidad]]),1)</f>
        <v>20</v>
      </c>
      <c r="P25" t="str">
        <f>IFERROR(_xlfn.XLOOKUP(K25,maestro_productos_15!$B$2:$B$16,maestro_productos_15!$C$2:$C$16),"No encontrada")</f>
        <v>Mascotas</v>
      </c>
      <c r="Q25" t="str">
        <f>IFERROR(_xlfn.XLOOKUP(K25,maestro_productos_15!$B$2:$B$16,maestro_productos_15!$D$2:$D$16),"No encontrada")</f>
        <v>NutriDog Arg</v>
      </c>
      <c r="R25">
        <f>ventas_raw_200[[#This Row],[Precio_Unitario]]*ventas_raw_200[[#This Row],[Cantidad_Auditada]]</f>
        <v>590000</v>
      </c>
      <c r="S25">
        <f>ventas_raw_200[[#This Row],[Costo_Unitario]]*ventas_raw_200[[#This Row],[Cantidad_Auditada]]</f>
        <v>400000</v>
      </c>
      <c r="T25">
        <f>ventas_raw_200[[#This Row],[Total_Venta]]-ventas_raw_200[[#This Row],[Total_Costo]]</f>
        <v>190000</v>
      </c>
      <c r="U25" s="3" cm="1">
        <f t="array" ref="U25">_xlfn.IFS(AND(G25&gt;25000,I25="Corrientes"),O25*G25*0.06,G25&gt;25000,O25*G25*0.04,TRUE,O25*G25*0.02)</f>
        <v>23600</v>
      </c>
    </row>
    <row r="26" spans="1:21" x14ac:dyDescent="0.25">
      <c r="A26" t="s">
        <v>59</v>
      </c>
      <c r="B26" s="1">
        <v>46057</v>
      </c>
      <c r="C26" t="s">
        <v>38</v>
      </c>
      <c r="D26" t="s">
        <v>33</v>
      </c>
      <c r="E26" t="s">
        <v>60</v>
      </c>
      <c r="F26">
        <v>13</v>
      </c>
      <c r="G26">
        <v>8500</v>
      </c>
      <c r="H26">
        <v>4800</v>
      </c>
      <c r="I26" t="str">
        <f>PROPER(TRIM(ventas_raw_200[[#This Row],[Sucursal]]))</f>
        <v>Posadas</v>
      </c>
      <c r="J26" t="str">
        <f>PROPER(TRIM(ventas_raw_200[[#This Row],[Vendedor]]))</f>
        <v>Juan Perez</v>
      </c>
      <c r="K26" t="str">
        <f>PROPER(TRIM(ventas_raw_200[[#This Row],[Producto]]))</f>
        <v>Mates De Madera Calada</v>
      </c>
      <c r="L26">
        <f>LEN(ventas_raw_200[[#This Row],[ID_Transaccion]])</f>
        <v>8</v>
      </c>
      <c r="M26" t="str">
        <f>TRIM(ventas_raw_200[[#This Row],[ID_Transaccion]])</f>
        <v>TRX-1025</v>
      </c>
      <c r="N26">
        <f>LEN(ventas_raw_200[[#This Row],[ID_Transaccion_Limpio]])</f>
        <v>8</v>
      </c>
      <c r="O26" s="2">
        <f>IFERROR(IF(ventas_raw_200[[#This Row],[Cantidad]]&lt;0,1,ventas_raw_200[[#This Row],[Cantidad]]),1)</f>
        <v>13</v>
      </c>
      <c r="P26" t="str">
        <f>IFERROR(_xlfn.XLOOKUP(K26,maestro_productos_15!$B$2:$B$16,maestro_productos_15!$C$2:$C$16),"No encontrada")</f>
        <v>Bazar</v>
      </c>
      <c r="Q26" t="str">
        <f>IFERROR(_xlfn.XLOOKUP(K26,maestro_productos_15!$B$2:$B$16,maestro_productos_15!$D$2:$D$16),"No encontrada")</f>
        <v>Artesanías Guaraníes</v>
      </c>
      <c r="R26">
        <f>ventas_raw_200[[#This Row],[Precio_Unitario]]*ventas_raw_200[[#This Row],[Cantidad_Auditada]]</f>
        <v>110500</v>
      </c>
      <c r="S26">
        <f>ventas_raw_200[[#This Row],[Costo_Unitario]]*ventas_raw_200[[#This Row],[Cantidad_Auditada]]</f>
        <v>62400</v>
      </c>
      <c r="T26">
        <f>ventas_raw_200[[#This Row],[Total_Venta]]-ventas_raw_200[[#This Row],[Total_Costo]]</f>
        <v>48100</v>
      </c>
      <c r="U26" s="3" cm="1">
        <f t="array" ref="U26">_xlfn.IFS(AND(G26&gt;25000,I26="Corrientes"),O26*G26*0.06,G26&gt;25000,O26*G26*0.04,TRUE,O26*G26*0.02)</f>
        <v>2210</v>
      </c>
    </row>
    <row r="27" spans="1:21" x14ac:dyDescent="0.25">
      <c r="A27" t="s">
        <v>61</v>
      </c>
      <c r="B27" s="1">
        <v>46066</v>
      </c>
      <c r="C27" t="s">
        <v>56</v>
      </c>
      <c r="D27" t="s">
        <v>14</v>
      </c>
      <c r="E27" t="s">
        <v>62</v>
      </c>
      <c r="F27">
        <v>3</v>
      </c>
      <c r="G27">
        <v>19500</v>
      </c>
      <c r="H27">
        <v>12000</v>
      </c>
      <c r="I27" t="str">
        <f>PROPER(TRIM(ventas_raw_200[[#This Row],[Sucursal]]))</f>
        <v>Resistencia</v>
      </c>
      <c r="J27" t="str">
        <f>PROPER(TRIM(ventas_raw_200[[#This Row],[Vendedor]]))</f>
        <v>Juan Perez</v>
      </c>
      <c r="K27" t="str">
        <f>PROPER(TRIM(ventas_raw_200[[#This Row],[Producto]]))</f>
        <v>Soporte Regulable Notebook</v>
      </c>
      <c r="L27">
        <f>LEN(ventas_raw_200[[#This Row],[ID_Transaccion]])</f>
        <v>8</v>
      </c>
      <c r="M27" t="str">
        <f>TRIM(ventas_raw_200[[#This Row],[ID_Transaccion]])</f>
        <v>TRX-1026</v>
      </c>
      <c r="N27">
        <f>LEN(ventas_raw_200[[#This Row],[ID_Transaccion_Limpio]])</f>
        <v>8</v>
      </c>
      <c r="O27" s="2">
        <f>IFERROR(IF(ventas_raw_200[[#This Row],[Cantidad]]&lt;0,1,ventas_raw_200[[#This Row],[Cantidad]]),1)</f>
        <v>3</v>
      </c>
      <c r="P27" t="str">
        <f>IFERROR(_xlfn.XLOOKUP(K27,maestro_productos_15!$B$2:$B$16,maestro_productos_15!$C$2:$C$16),"No encontrada")</f>
        <v>Tecnología</v>
      </c>
      <c r="Q27" t="str">
        <f>IFERROR(_xlfn.XLOOKUP(K27,maestro_productos_15!$B$2:$B$16,maestro_productos_15!$D$2:$D$16),"No encontrada")</f>
        <v>TechImport S.R.L.</v>
      </c>
      <c r="R27">
        <f>ventas_raw_200[[#This Row],[Precio_Unitario]]*ventas_raw_200[[#This Row],[Cantidad_Auditada]]</f>
        <v>58500</v>
      </c>
      <c r="S27">
        <f>ventas_raw_200[[#This Row],[Costo_Unitario]]*ventas_raw_200[[#This Row],[Cantidad_Auditada]]</f>
        <v>36000</v>
      </c>
      <c r="T27">
        <f>ventas_raw_200[[#This Row],[Total_Venta]]-ventas_raw_200[[#This Row],[Total_Costo]]</f>
        <v>22500</v>
      </c>
      <c r="U27" s="3" cm="1">
        <f t="array" ref="U27">_xlfn.IFS(AND(G27&gt;25000,I27="Corrientes"),O27*G27*0.06,G27&gt;25000,O27*G27*0.04,TRUE,O27*G27*0.02)</f>
        <v>1170</v>
      </c>
    </row>
    <row r="28" spans="1:21" x14ac:dyDescent="0.25">
      <c r="A28" t="s">
        <v>63</v>
      </c>
      <c r="B28" s="1">
        <v>46109</v>
      </c>
      <c r="C28" t="s">
        <v>9</v>
      </c>
      <c r="D28" t="s">
        <v>14</v>
      </c>
      <c r="E28" t="s">
        <v>64</v>
      </c>
      <c r="F28">
        <v>2</v>
      </c>
      <c r="G28">
        <v>18500</v>
      </c>
      <c r="H28">
        <v>12500</v>
      </c>
      <c r="I28" t="str">
        <f>PROPER(TRIM(ventas_raw_200[[#This Row],[Sucursal]]))</f>
        <v>Corrientes</v>
      </c>
      <c r="J28" t="str">
        <f>PROPER(TRIM(ventas_raw_200[[#This Row],[Vendedor]]))</f>
        <v>Juan Perez</v>
      </c>
      <c r="K28" t="str">
        <f>PROPER(TRIM(ventas_raw_200[[#This Row],[Producto]]))</f>
        <v>Café En Grano Intenso 1Kg</v>
      </c>
      <c r="L28">
        <f>LEN(ventas_raw_200[[#This Row],[ID_Transaccion]])</f>
        <v>8</v>
      </c>
      <c r="M28" t="str">
        <f>TRIM(ventas_raw_200[[#This Row],[ID_Transaccion]])</f>
        <v>TRX-1027</v>
      </c>
      <c r="N28">
        <f>LEN(ventas_raw_200[[#This Row],[ID_Transaccion_Limpio]])</f>
        <v>8</v>
      </c>
      <c r="O28" s="2">
        <f>IFERROR(IF(ventas_raw_200[[#This Row],[Cantidad]]&lt;0,1,ventas_raw_200[[#This Row],[Cantidad]]),1)</f>
        <v>2</v>
      </c>
      <c r="P28" t="str">
        <f>IFERROR(_xlfn.XLOOKUP(K28,maestro_productos_15!$B$2:$B$16,maestro_productos_15!$C$2:$C$16),"No encontrada")</f>
        <v>Alimentos</v>
      </c>
      <c r="Q28" t="str">
        <f>IFERROR(_xlfn.XLOOKUP(K28,maestro_productos_15!$B$2:$B$16,maestro_productos_15!$D$2:$D$16),"No encontrada")</f>
        <v>Distribuidora del Nordeste</v>
      </c>
      <c r="R28">
        <f>ventas_raw_200[[#This Row],[Precio_Unitario]]*ventas_raw_200[[#This Row],[Cantidad_Auditada]]</f>
        <v>37000</v>
      </c>
      <c r="S28">
        <f>ventas_raw_200[[#This Row],[Costo_Unitario]]*ventas_raw_200[[#This Row],[Cantidad_Auditada]]</f>
        <v>25000</v>
      </c>
      <c r="T28">
        <f>ventas_raw_200[[#This Row],[Total_Venta]]-ventas_raw_200[[#This Row],[Total_Costo]]</f>
        <v>12000</v>
      </c>
      <c r="U28" s="3" cm="1">
        <f t="array" ref="U28">_xlfn.IFS(AND(G28&gt;25000,I28="Corrientes"),O28*G28*0.06,G28&gt;25000,O28*G28*0.04,TRUE,O28*G28*0.02)</f>
        <v>740</v>
      </c>
    </row>
    <row r="29" spans="1:21" x14ac:dyDescent="0.25">
      <c r="A29" t="s">
        <v>65</v>
      </c>
      <c r="B29" s="1">
        <v>46073</v>
      </c>
      <c r="C29" t="s">
        <v>23</v>
      </c>
      <c r="D29" t="s">
        <v>30</v>
      </c>
      <c r="E29" t="s">
        <v>31</v>
      </c>
      <c r="F29">
        <v>7</v>
      </c>
      <c r="G29">
        <v>29500</v>
      </c>
      <c r="H29">
        <v>20000</v>
      </c>
      <c r="I29" t="str">
        <f>PROPER(TRIM(ventas_raw_200[[#This Row],[Sucursal]]))</f>
        <v>Corrientes</v>
      </c>
      <c r="J29" t="str">
        <f>PROPER(TRIM(ventas_raw_200[[#This Row],[Vendedor]]))</f>
        <v>Maria Gomez</v>
      </c>
      <c r="K29" t="str">
        <f>PROPER(TRIM(ventas_raw_200[[#This Row],[Producto]]))</f>
        <v>Alimento Gato Castrado 10Kg</v>
      </c>
      <c r="L29">
        <f>LEN(ventas_raw_200[[#This Row],[ID_Transaccion]])</f>
        <v>10</v>
      </c>
      <c r="M29" t="str">
        <f>TRIM(ventas_raw_200[[#This Row],[ID_Transaccion]])</f>
        <v>TRX-1028</v>
      </c>
      <c r="N29">
        <f>LEN(ventas_raw_200[[#This Row],[ID_Transaccion_Limpio]])</f>
        <v>8</v>
      </c>
      <c r="O29" s="2">
        <f>IFERROR(IF(ventas_raw_200[[#This Row],[Cantidad]]&lt;0,1,ventas_raw_200[[#This Row],[Cantidad]]),1)</f>
        <v>7</v>
      </c>
      <c r="P29" t="str">
        <f>IFERROR(_xlfn.XLOOKUP(K29,maestro_productos_15!$B$2:$B$16,maestro_productos_15!$C$2:$C$16),"No encontrada")</f>
        <v>Mascotas</v>
      </c>
      <c r="Q29" t="str">
        <f>IFERROR(_xlfn.XLOOKUP(K29,maestro_productos_15!$B$2:$B$16,maestro_productos_15!$D$2:$D$16),"No encontrada")</f>
        <v>NutriDog Arg</v>
      </c>
      <c r="R29">
        <f>ventas_raw_200[[#This Row],[Precio_Unitario]]*ventas_raw_200[[#This Row],[Cantidad_Auditada]]</f>
        <v>206500</v>
      </c>
      <c r="S29">
        <f>ventas_raw_200[[#This Row],[Costo_Unitario]]*ventas_raw_200[[#This Row],[Cantidad_Auditada]]</f>
        <v>140000</v>
      </c>
      <c r="T29">
        <f>ventas_raw_200[[#This Row],[Total_Venta]]-ventas_raw_200[[#This Row],[Total_Costo]]</f>
        <v>66500</v>
      </c>
      <c r="U29" s="3" cm="1">
        <f t="array" ref="U29">_xlfn.IFS(AND(G29&gt;25000,I29="Corrientes"),O29*G29*0.06,G29&gt;25000,O29*G29*0.04,TRUE,O29*G29*0.02)</f>
        <v>12390</v>
      </c>
    </row>
    <row r="30" spans="1:21" x14ac:dyDescent="0.25">
      <c r="A30" t="s">
        <v>66</v>
      </c>
      <c r="B30" s="1">
        <v>46030</v>
      </c>
      <c r="C30" t="s">
        <v>23</v>
      </c>
      <c r="D30" t="s">
        <v>20</v>
      </c>
      <c r="E30" t="s">
        <v>67</v>
      </c>
      <c r="F30">
        <v>14</v>
      </c>
      <c r="G30">
        <v>6200</v>
      </c>
      <c r="H30">
        <v>3800</v>
      </c>
      <c r="I30" t="str">
        <f>PROPER(TRIM(ventas_raw_200[[#This Row],[Sucursal]]))</f>
        <v>Corrientes</v>
      </c>
      <c r="J30" t="str">
        <f>PROPER(TRIM(ventas_raw_200[[#This Row],[Vendedor]]))</f>
        <v>Ana Martinez</v>
      </c>
      <c r="K30" t="str">
        <f>PROPER(TRIM(ventas_raw_200[[#This Row],[Producto]]))</f>
        <v>Shampoo Canino Neutro 500Ml</v>
      </c>
      <c r="L30">
        <f>LEN(ventas_raw_200[[#This Row],[ID_Transaccion]])</f>
        <v>8</v>
      </c>
      <c r="M30" t="str">
        <f>TRIM(ventas_raw_200[[#This Row],[ID_Transaccion]])</f>
        <v>TRX-1029</v>
      </c>
      <c r="N30">
        <f>LEN(ventas_raw_200[[#This Row],[ID_Transaccion_Limpio]])</f>
        <v>8</v>
      </c>
      <c r="O30" s="2">
        <f>IFERROR(IF(ventas_raw_200[[#This Row],[Cantidad]]&lt;0,1,ventas_raw_200[[#This Row],[Cantidad]]),1)</f>
        <v>14</v>
      </c>
      <c r="P30" t="str">
        <f>IFERROR(_xlfn.XLOOKUP(K30,maestro_productos_15!$B$2:$B$16,maestro_productos_15!$C$2:$C$16),"No encontrada")</f>
        <v>Mascotas</v>
      </c>
      <c r="Q30" t="str">
        <f>IFERROR(_xlfn.XLOOKUP(K30,maestro_productos_15!$B$2:$B$16,maestro_productos_15!$D$2:$D$16),"No encontrada")</f>
        <v>PetStyle Litoral</v>
      </c>
      <c r="R30">
        <f>ventas_raw_200[[#This Row],[Precio_Unitario]]*ventas_raw_200[[#This Row],[Cantidad_Auditada]]</f>
        <v>86800</v>
      </c>
      <c r="S30">
        <f>ventas_raw_200[[#This Row],[Costo_Unitario]]*ventas_raw_200[[#This Row],[Cantidad_Auditada]]</f>
        <v>53200</v>
      </c>
      <c r="T30">
        <f>ventas_raw_200[[#This Row],[Total_Venta]]-ventas_raw_200[[#This Row],[Total_Costo]]</f>
        <v>33600</v>
      </c>
      <c r="U30" s="3" cm="1">
        <f t="array" ref="U30">_xlfn.IFS(AND(G30&gt;25000,I30="Corrientes"),O30*G30*0.06,G30&gt;25000,O30*G30*0.04,TRUE,O30*G30*0.02)</f>
        <v>1736</v>
      </c>
    </row>
    <row r="31" spans="1:21" x14ac:dyDescent="0.25">
      <c r="A31" t="s">
        <v>68</v>
      </c>
      <c r="B31" s="1">
        <v>46044</v>
      </c>
      <c r="C31" t="s">
        <v>56</v>
      </c>
      <c r="D31" t="s">
        <v>69</v>
      </c>
      <c r="E31" t="s">
        <v>28</v>
      </c>
      <c r="F31">
        <v>2</v>
      </c>
      <c r="G31">
        <v>35000</v>
      </c>
      <c r="H31">
        <v>24000</v>
      </c>
      <c r="I31" t="str">
        <f>PROPER(TRIM(ventas_raw_200[[#This Row],[Sucursal]]))</f>
        <v>Resistencia</v>
      </c>
      <c r="J31" t="str">
        <f>PROPER(TRIM(ventas_raw_200[[#This Row],[Vendedor]]))</f>
        <v>Carlos Ruiz</v>
      </c>
      <c r="K31" t="str">
        <f>PROPER(TRIM(ventas_raw_200[[#This Row],[Producto]]))</f>
        <v>Alimento Perro Adulto 15Kg</v>
      </c>
      <c r="L31">
        <f>LEN(ventas_raw_200[[#This Row],[ID_Transaccion]])</f>
        <v>8</v>
      </c>
      <c r="M31" t="str">
        <f>TRIM(ventas_raw_200[[#This Row],[ID_Transaccion]])</f>
        <v>TRX-1030</v>
      </c>
      <c r="N31">
        <f>LEN(ventas_raw_200[[#This Row],[ID_Transaccion_Limpio]])</f>
        <v>8</v>
      </c>
      <c r="O31" s="2">
        <f>IFERROR(IF(ventas_raw_200[[#This Row],[Cantidad]]&lt;0,1,ventas_raw_200[[#This Row],[Cantidad]]),1)</f>
        <v>2</v>
      </c>
      <c r="P31" t="str">
        <f>IFERROR(_xlfn.XLOOKUP(K31,maestro_productos_15!$B$2:$B$16,maestro_productos_15!$C$2:$C$16),"No encontrada")</f>
        <v>Mascotas</v>
      </c>
      <c r="Q31" t="str">
        <f>IFERROR(_xlfn.XLOOKUP(K31,maestro_productos_15!$B$2:$B$16,maestro_productos_15!$D$2:$D$16),"No encontrada")</f>
        <v>NutriDog Arg</v>
      </c>
      <c r="R31">
        <f>ventas_raw_200[[#This Row],[Precio_Unitario]]*ventas_raw_200[[#This Row],[Cantidad_Auditada]]</f>
        <v>70000</v>
      </c>
      <c r="S31">
        <f>ventas_raw_200[[#This Row],[Costo_Unitario]]*ventas_raw_200[[#This Row],[Cantidad_Auditada]]</f>
        <v>48000</v>
      </c>
      <c r="T31">
        <f>ventas_raw_200[[#This Row],[Total_Venta]]-ventas_raw_200[[#This Row],[Total_Costo]]</f>
        <v>22000</v>
      </c>
      <c r="U31" s="3" cm="1">
        <f t="array" ref="U31">_xlfn.IFS(AND(G31&gt;25000,I31="Corrientes"),O31*G31*0.06,G31&gt;25000,O31*G31*0.04,TRUE,O31*G31*0.02)</f>
        <v>2800</v>
      </c>
    </row>
    <row r="32" spans="1:21" x14ac:dyDescent="0.25">
      <c r="A32" t="s">
        <v>70</v>
      </c>
      <c r="B32" s="1">
        <v>46027</v>
      </c>
      <c r="C32" t="s">
        <v>38</v>
      </c>
      <c r="D32" t="s">
        <v>30</v>
      </c>
      <c r="E32" t="s">
        <v>28</v>
      </c>
      <c r="F32">
        <v>4</v>
      </c>
      <c r="G32">
        <v>35000</v>
      </c>
      <c r="H32">
        <v>24000</v>
      </c>
      <c r="I32" t="str">
        <f>PROPER(TRIM(ventas_raw_200[[#This Row],[Sucursal]]))</f>
        <v>Posadas</v>
      </c>
      <c r="J32" t="str">
        <f>PROPER(TRIM(ventas_raw_200[[#This Row],[Vendedor]]))</f>
        <v>Maria Gomez</v>
      </c>
      <c r="K32" t="str">
        <f>PROPER(TRIM(ventas_raw_200[[#This Row],[Producto]]))</f>
        <v>Alimento Perro Adulto 15Kg</v>
      </c>
      <c r="L32">
        <f>LEN(ventas_raw_200[[#This Row],[ID_Transaccion]])</f>
        <v>10</v>
      </c>
      <c r="M32" t="str">
        <f>TRIM(ventas_raw_200[[#This Row],[ID_Transaccion]])</f>
        <v>TRX-1031</v>
      </c>
      <c r="N32">
        <f>LEN(ventas_raw_200[[#This Row],[ID_Transaccion_Limpio]])</f>
        <v>8</v>
      </c>
      <c r="O32" s="2">
        <f>IFERROR(IF(ventas_raw_200[[#This Row],[Cantidad]]&lt;0,1,ventas_raw_200[[#This Row],[Cantidad]]),1)</f>
        <v>4</v>
      </c>
      <c r="P32" t="str">
        <f>IFERROR(_xlfn.XLOOKUP(K32,maestro_productos_15!$B$2:$B$16,maestro_productos_15!$C$2:$C$16),"No encontrada")</f>
        <v>Mascotas</v>
      </c>
      <c r="Q32" t="str">
        <f>IFERROR(_xlfn.XLOOKUP(K32,maestro_productos_15!$B$2:$B$16,maestro_productos_15!$D$2:$D$16),"No encontrada")</f>
        <v>NutriDog Arg</v>
      </c>
      <c r="R32">
        <f>ventas_raw_200[[#This Row],[Precio_Unitario]]*ventas_raw_200[[#This Row],[Cantidad_Auditada]]</f>
        <v>140000</v>
      </c>
      <c r="S32">
        <f>ventas_raw_200[[#This Row],[Costo_Unitario]]*ventas_raw_200[[#This Row],[Cantidad_Auditada]]</f>
        <v>96000</v>
      </c>
      <c r="T32">
        <f>ventas_raw_200[[#This Row],[Total_Venta]]-ventas_raw_200[[#This Row],[Total_Costo]]</f>
        <v>44000</v>
      </c>
      <c r="U32" s="3" cm="1">
        <f t="array" ref="U32">_xlfn.IFS(AND(G32&gt;25000,I32="Corrientes"),O32*G32*0.06,G32&gt;25000,O32*G32*0.04,TRUE,O32*G32*0.02)</f>
        <v>5600</v>
      </c>
    </row>
    <row r="33" spans="1:21" x14ac:dyDescent="0.25">
      <c r="A33" t="s">
        <v>71</v>
      </c>
      <c r="B33" s="1">
        <v>46031</v>
      </c>
      <c r="C33" t="s">
        <v>23</v>
      </c>
      <c r="D33" t="s">
        <v>30</v>
      </c>
      <c r="E33" t="s">
        <v>72</v>
      </c>
      <c r="F33">
        <v>3</v>
      </c>
      <c r="G33">
        <v>45000</v>
      </c>
      <c r="H33">
        <v>30000</v>
      </c>
      <c r="I33" t="str">
        <f>PROPER(TRIM(ventas_raw_200[[#This Row],[Sucursal]]))</f>
        <v>Corrientes</v>
      </c>
      <c r="J33" t="str">
        <f>PROPER(TRIM(ventas_raw_200[[#This Row],[Vendedor]]))</f>
        <v>Maria Gomez</v>
      </c>
      <c r="K33" t="str">
        <f>PROPER(TRIM(ventas_raw_200[[#This Row],[Producto]]))</f>
        <v>Teclado Mecánico Rgb</v>
      </c>
      <c r="L33">
        <f>LEN(ventas_raw_200[[#This Row],[ID_Transaccion]])</f>
        <v>8</v>
      </c>
      <c r="M33" t="str">
        <f>TRIM(ventas_raw_200[[#This Row],[ID_Transaccion]])</f>
        <v>TRX-1032</v>
      </c>
      <c r="N33">
        <f>LEN(ventas_raw_200[[#This Row],[ID_Transaccion_Limpio]])</f>
        <v>8</v>
      </c>
      <c r="O33" s="2">
        <f>IFERROR(IF(ventas_raw_200[[#This Row],[Cantidad]]&lt;0,1,ventas_raw_200[[#This Row],[Cantidad]]),1)</f>
        <v>3</v>
      </c>
      <c r="P33" t="str">
        <f>IFERROR(_xlfn.XLOOKUP(K33,maestro_productos_15!$B$2:$B$16,maestro_productos_15!$C$2:$C$16),"No encontrada")</f>
        <v>Tecnología</v>
      </c>
      <c r="Q33" t="str">
        <f>IFERROR(_xlfn.XLOOKUP(K33,maestro_productos_15!$B$2:$B$16,maestro_productos_15!$D$2:$D$16),"No encontrada")</f>
        <v>TechImport S.R.L.</v>
      </c>
      <c r="R33">
        <f>ventas_raw_200[[#This Row],[Precio_Unitario]]*ventas_raw_200[[#This Row],[Cantidad_Auditada]]</f>
        <v>135000</v>
      </c>
      <c r="S33">
        <f>ventas_raw_200[[#This Row],[Costo_Unitario]]*ventas_raw_200[[#This Row],[Cantidad_Auditada]]</f>
        <v>90000</v>
      </c>
      <c r="T33">
        <f>ventas_raw_200[[#This Row],[Total_Venta]]-ventas_raw_200[[#This Row],[Total_Costo]]</f>
        <v>45000</v>
      </c>
      <c r="U33" s="3" cm="1">
        <f t="array" ref="U33">_xlfn.IFS(AND(G33&gt;25000,I33="Corrientes"),O33*G33*0.06,G33&gt;25000,O33*G33*0.04,TRUE,O33*G33*0.02)</f>
        <v>8100</v>
      </c>
    </row>
    <row r="34" spans="1:21" x14ac:dyDescent="0.25">
      <c r="A34" t="s">
        <v>73</v>
      </c>
      <c r="B34" s="1">
        <v>46029</v>
      </c>
      <c r="C34" t="s">
        <v>38</v>
      </c>
      <c r="D34" t="s">
        <v>49</v>
      </c>
      <c r="E34" t="s">
        <v>74</v>
      </c>
      <c r="F34">
        <v>3</v>
      </c>
      <c r="G34">
        <v>28000</v>
      </c>
      <c r="H34">
        <v>18000</v>
      </c>
      <c r="I34" t="str">
        <f>PROPER(TRIM(ventas_raw_200[[#This Row],[Sucursal]]))</f>
        <v>Posadas</v>
      </c>
      <c r="J34" t="str">
        <f>PROPER(TRIM(ventas_raw_200[[#This Row],[Vendedor]]))</f>
        <v>Carlos Ruiz</v>
      </c>
      <c r="K34" t="str">
        <f>PROPER(TRIM(ventas_raw_200[[#This Row],[Producto]]))</f>
        <v>Auriculares Bluetooth Pro</v>
      </c>
      <c r="L34">
        <f>LEN(ventas_raw_200[[#This Row],[ID_Transaccion]])</f>
        <v>10</v>
      </c>
      <c r="M34" t="str">
        <f>TRIM(ventas_raw_200[[#This Row],[ID_Transaccion]])</f>
        <v>TRX-1033</v>
      </c>
      <c r="N34">
        <f>LEN(ventas_raw_200[[#This Row],[ID_Transaccion_Limpio]])</f>
        <v>8</v>
      </c>
      <c r="O34" s="2">
        <f>IFERROR(IF(ventas_raw_200[[#This Row],[Cantidad]]&lt;0,1,ventas_raw_200[[#This Row],[Cantidad]]),1)</f>
        <v>3</v>
      </c>
      <c r="P34" t="str">
        <f>IFERROR(_xlfn.XLOOKUP(K34,maestro_productos_15!$B$2:$B$16,maestro_productos_15!$C$2:$C$16),"No encontrada")</f>
        <v>Tecnología</v>
      </c>
      <c r="Q34" t="str">
        <f>IFERROR(_xlfn.XLOOKUP(K34,maestro_productos_15!$B$2:$B$16,maestro_productos_15!$D$2:$D$16),"No encontrada")</f>
        <v>TechImport S.R.L.</v>
      </c>
      <c r="R34">
        <f>ventas_raw_200[[#This Row],[Precio_Unitario]]*ventas_raw_200[[#This Row],[Cantidad_Auditada]]</f>
        <v>84000</v>
      </c>
      <c r="S34">
        <f>ventas_raw_200[[#This Row],[Costo_Unitario]]*ventas_raw_200[[#This Row],[Cantidad_Auditada]]</f>
        <v>54000</v>
      </c>
      <c r="T34">
        <f>ventas_raw_200[[#This Row],[Total_Venta]]-ventas_raw_200[[#This Row],[Total_Costo]]</f>
        <v>30000</v>
      </c>
      <c r="U34" s="3" cm="1">
        <f t="array" ref="U34">_xlfn.IFS(AND(G34&gt;25000,I34="Corrientes"),O34*G34*0.06,G34&gt;25000,O34*G34*0.04,TRUE,O34*G34*0.02)</f>
        <v>3360</v>
      </c>
    </row>
    <row r="35" spans="1:21" x14ac:dyDescent="0.25">
      <c r="A35" t="s">
        <v>75</v>
      </c>
      <c r="B35" s="1">
        <v>46087</v>
      </c>
      <c r="C35" t="s">
        <v>56</v>
      </c>
      <c r="D35" t="s">
        <v>33</v>
      </c>
      <c r="E35" t="s">
        <v>76</v>
      </c>
      <c r="F35">
        <v>2</v>
      </c>
      <c r="G35">
        <v>15000</v>
      </c>
      <c r="H35">
        <v>9500</v>
      </c>
      <c r="I35" t="str">
        <f>PROPER(TRIM(ventas_raw_200[[#This Row],[Sucursal]]))</f>
        <v>Resistencia</v>
      </c>
      <c r="J35" t="str">
        <f>PROPER(TRIM(ventas_raw_200[[#This Row],[Vendedor]]))</f>
        <v>Juan Perez</v>
      </c>
      <c r="K35" t="str">
        <f>PROPER(TRIM(ventas_raw_200[[#This Row],[Producto]]))</f>
        <v>Mouse Inalámbrico Ergonómico</v>
      </c>
      <c r="L35">
        <f>LEN(ventas_raw_200[[#This Row],[ID_Transaccion]])</f>
        <v>8</v>
      </c>
      <c r="M35" t="str">
        <f>TRIM(ventas_raw_200[[#This Row],[ID_Transaccion]])</f>
        <v>TRX-1034</v>
      </c>
      <c r="N35">
        <f>LEN(ventas_raw_200[[#This Row],[ID_Transaccion_Limpio]])</f>
        <v>8</v>
      </c>
      <c r="O35" s="2">
        <f>IFERROR(IF(ventas_raw_200[[#This Row],[Cantidad]]&lt;0,1,ventas_raw_200[[#This Row],[Cantidad]]),1)</f>
        <v>2</v>
      </c>
      <c r="P35" t="str">
        <f>IFERROR(_xlfn.XLOOKUP(K35,maestro_productos_15!$B$2:$B$16,maestro_productos_15!$C$2:$C$16),"No encontrada")</f>
        <v>Tecnología</v>
      </c>
      <c r="Q35" t="str">
        <f>IFERROR(_xlfn.XLOOKUP(K35,maestro_productos_15!$B$2:$B$16,maestro_productos_15!$D$2:$D$16),"No encontrada")</f>
        <v>TechImport S.R.L.</v>
      </c>
      <c r="R35">
        <f>ventas_raw_200[[#This Row],[Precio_Unitario]]*ventas_raw_200[[#This Row],[Cantidad_Auditada]]</f>
        <v>30000</v>
      </c>
      <c r="S35">
        <f>ventas_raw_200[[#This Row],[Costo_Unitario]]*ventas_raw_200[[#This Row],[Cantidad_Auditada]]</f>
        <v>19000</v>
      </c>
      <c r="T35">
        <f>ventas_raw_200[[#This Row],[Total_Venta]]-ventas_raw_200[[#This Row],[Total_Costo]]</f>
        <v>11000</v>
      </c>
      <c r="U35" s="3" cm="1">
        <f t="array" ref="U35">_xlfn.IFS(AND(G35&gt;25000,I35="Corrientes"),O35*G35*0.06,G35&gt;25000,O35*G35*0.04,TRUE,O35*G35*0.02)</f>
        <v>600</v>
      </c>
    </row>
    <row r="36" spans="1:21" x14ac:dyDescent="0.25">
      <c r="A36" t="s">
        <v>77</v>
      </c>
      <c r="B36" s="1">
        <v>46037</v>
      </c>
      <c r="C36" t="s">
        <v>25</v>
      </c>
      <c r="D36" t="s">
        <v>20</v>
      </c>
      <c r="E36" t="s">
        <v>21</v>
      </c>
      <c r="F36">
        <v>14</v>
      </c>
      <c r="G36">
        <v>3800</v>
      </c>
      <c r="H36">
        <v>2500</v>
      </c>
      <c r="I36" t="str">
        <f>PROPER(TRIM(ventas_raw_200[[#This Row],[Sucursal]]))</f>
        <v>Formosa</v>
      </c>
      <c r="J36" t="str">
        <f>PROPER(TRIM(ventas_raw_200[[#This Row],[Vendedor]]))</f>
        <v>Ana Martinez</v>
      </c>
      <c r="K36" t="str">
        <f>PROPER(TRIM(ventas_raw_200[[#This Row],[Producto]]))</f>
        <v>Yerba Mate Premium 1Kg</v>
      </c>
      <c r="L36">
        <f>LEN(ventas_raw_200[[#This Row],[ID_Transaccion]])</f>
        <v>8</v>
      </c>
      <c r="M36" t="str">
        <f>TRIM(ventas_raw_200[[#This Row],[ID_Transaccion]])</f>
        <v>TRX-1035</v>
      </c>
      <c r="N36">
        <f>LEN(ventas_raw_200[[#This Row],[ID_Transaccion_Limpio]])</f>
        <v>8</v>
      </c>
      <c r="O36" s="2">
        <f>IFERROR(IF(ventas_raw_200[[#This Row],[Cantidad]]&lt;0,1,ventas_raw_200[[#This Row],[Cantidad]]),1)</f>
        <v>14</v>
      </c>
      <c r="P36" t="str">
        <f>IFERROR(_xlfn.XLOOKUP(K36,maestro_productos_15!$B$2:$B$16,maestro_productos_15!$C$2:$C$16),"No encontrada")</f>
        <v>Alimentos</v>
      </c>
      <c r="Q36" t="str">
        <f>IFERROR(_xlfn.XLOOKUP(K36,maestro_productos_15!$B$2:$B$16,maestro_productos_15!$D$2:$D$16),"No encontrada")</f>
        <v>Cooperativa Neike</v>
      </c>
      <c r="R36">
        <f>ventas_raw_200[[#This Row],[Precio_Unitario]]*ventas_raw_200[[#This Row],[Cantidad_Auditada]]</f>
        <v>53200</v>
      </c>
      <c r="S36">
        <f>ventas_raw_200[[#This Row],[Costo_Unitario]]*ventas_raw_200[[#This Row],[Cantidad_Auditada]]</f>
        <v>35000</v>
      </c>
      <c r="T36">
        <f>ventas_raw_200[[#This Row],[Total_Venta]]-ventas_raw_200[[#This Row],[Total_Costo]]</f>
        <v>18200</v>
      </c>
      <c r="U36" s="3" cm="1">
        <f t="array" ref="U36">_xlfn.IFS(AND(G36&gt;25000,I36="Corrientes"),O36*G36*0.06,G36&gt;25000,O36*G36*0.04,TRUE,O36*G36*0.02)</f>
        <v>1064</v>
      </c>
    </row>
    <row r="37" spans="1:21" x14ac:dyDescent="0.25">
      <c r="A37" t="s">
        <v>78</v>
      </c>
      <c r="B37" s="1">
        <v>46036</v>
      </c>
      <c r="C37" t="s">
        <v>56</v>
      </c>
      <c r="D37" t="s">
        <v>33</v>
      </c>
      <c r="E37" t="s">
        <v>50</v>
      </c>
      <c r="F37">
        <v>7</v>
      </c>
      <c r="G37">
        <v>32000</v>
      </c>
      <c r="H37">
        <v>21000</v>
      </c>
      <c r="I37" t="str">
        <f>PROPER(TRIM(ventas_raw_200[[#This Row],[Sucursal]]))</f>
        <v>Resistencia</v>
      </c>
      <c r="J37" t="str">
        <f>PROPER(TRIM(ventas_raw_200[[#This Row],[Vendedor]]))</f>
        <v>Juan Perez</v>
      </c>
      <c r="K37" t="str">
        <f>PROPER(TRIM(ventas_raw_200[[#This Row],[Producto]]))</f>
        <v>Termo Acero Inoxidable 1.3L</v>
      </c>
      <c r="L37">
        <f>LEN(ventas_raw_200[[#This Row],[ID_Transaccion]])</f>
        <v>8</v>
      </c>
      <c r="M37" t="str">
        <f>TRIM(ventas_raw_200[[#This Row],[ID_Transaccion]])</f>
        <v>TRX-1036</v>
      </c>
      <c r="N37">
        <f>LEN(ventas_raw_200[[#This Row],[ID_Transaccion_Limpio]])</f>
        <v>8</v>
      </c>
      <c r="O37" s="2">
        <f>IFERROR(IF(ventas_raw_200[[#This Row],[Cantidad]]&lt;0,1,ventas_raw_200[[#This Row],[Cantidad]]),1)</f>
        <v>7</v>
      </c>
      <c r="P37" t="str">
        <f>IFERROR(_xlfn.XLOOKUP(K37,maestro_productos_15!$B$2:$B$16,maestro_productos_15!$C$2:$C$16),"No encontrada")</f>
        <v>Bazar</v>
      </c>
      <c r="Q37" t="str">
        <f>IFERROR(_xlfn.XLOOKUP(K37,maestro_productos_15!$B$2:$B$16,maestro_productos_15!$D$2:$D$16),"No encontrada")</f>
        <v>Distribuidora del Nordeste</v>
      </c>
      <c r="R37">
        <f>ventas_raw_200[[#This Row],[Precio_Unitario]]*ventas_raw_200[[#This Row],[Cantidad_Auditada]]</f>
        <v>224000</v>
      </c>
      <c r="S37">
        <f>ventas_raw_200[[#This Row],[Costo_Unitario]]*ventas_raw_200[[#This Row],[Cantidad_Auditada]]</f>
        <v>147000</v>
      </c>
      <c r="T37">
        <f>ventas_raw_200[[#This Row],[Total_Venta]]-ventas_raw_200[[#This Row],[Total_Costo]]</f>
        <v>77000</v>
      </c>
      <c r="U37" s="3" cm="1">
        <f t="array" ref="U37">_xlfn.IFS(AND(G37&gt;25000,I37="Corrientes"),O37*G37*0.06,G37&gt;25000,O37*G37*0.04,TRUE,O37*G37*0.02)</f>
        <v>8960</v>
      </c>
    </row>
    <row r="38" spans="1:21" x14ac:dyDescent="0.25">
      <c r="A38" t="s">
        <v>79</v>
      </c>
      <c r="B38" s="1">
        <v>46025</v>
      </c>
      <c r="C38" t="s">
        <v>19</v>
      </c>
      <c r="D38" t="s">
        <v>14</v>
      </c>
      <c r="E38" t="s">
        <v>74</v>
      </c>
      <c r="F38">
        <v>16</v>
      </c>
      <c r="G38">
        <v>28000</v>
      </c>
      <c r="H38">
        <v>18000</v>
      </c>
      <c r="I38" t="str">
        <f>PROPER(TRIM(ventas_raw_200[[#This Row],[Sucursal]]))</f>
        <v>Resistencia</v>
      </c>
      <c r="J38" t="str">
        <f>PROPER(TRIM(ventas_raw_200[[#This Row],[Vendedor]]))</f>
        <v>Juan Perez</v>
      </c>
      <c r="K38" t="str">
        <f>PROPER(TRIM(ventas_raw_200[[#This Row],[Producto]]))</f>
        <v>Auriculares Bluetooth Pro</v>
      </c>
      <c r="L38">
        <f>LEN(ventas_raw_200[[#This Row],[ID_Transaccion]])</f>
        <v>10</v>
      </c>
      <c r="M38" t="str">
        <f>TRIM(ventas_raw_200[[#This Row],[ID_Transaccion]])</f>
        <v>TRX-1037</v>
      </c>
      <c r="N38">
        <f>LEN(ventas_raw_200[[#This Row],[ID_Transaccion_Limpio]])</f>
        <v>8</v>
      </c>
      <c r="O38" s="2">
        <f>IFERROR(IF(ventas_raw_200[[#This Row],[Cantidad]]&lt;0,1,ventas_raw_200[[#This Row],[Cantidad]]),1)</f>
        <v>16</v>
      </c>
      <c r="P38" t="str">
        <f>IFERROR(_xlfn.XLOOKUP(K38,maestro_productos_15!$B$2:$B$16,maestro_productos_15!$C$2:$C$16),"No encontrada")</f>
        <v>Tecnología</v>
      </c>
      <c r="Q38" t="str">
        <f>IFERROR(_xlfn.XLOOKUP(K38,maestro_productos_15!$B$2:$B$16,maestro_productos_15!$D$2:$D$16),"No encontrada")</f>
        <v>TechImport S.R.L.</v>
      </c>
      <c r="R38">
        <f>ventas_raw_200[[#This Row],[Precio_Unitario]]*ventas_raw_200[[#This Row],[Cantidad_Auditada]]</f>
        <v>448000</v>
      </c>
      <c r="S38">
        <f>ventas_raw_200[[#This Row],[Costo_Unitario]]*ventas_raw_200[[#This Row],[Cantidad_Auditada]]</f>
        <v>288000</v>
      </c>
      <c r="T38">
        <f>ventas_raw_200[[#This Row],[Total_Venta]]-ventas_raw_200[[#This Row],[Total_Costo]]</f>
        <v>160000</v>
      </c>
      <c r="U38" s="3" cm="1">
        <f t="array" ref="U38">_xlfn.IFS(AND(G38&gt;25000,I38="Corrientes"),O38*G38*0.06,G38&gt;25000,O38*G38*0.04,TRUE,O38*G38*0.02)</f>
        <v>17920</v>
      </c>
    </row>
    <row r="39" spans="1:21" x14ac:dyDescent="0.25">
      <c r="A39" t="s">
        <v>80</v>
      </c>
      <c r="B39" s="1">
        <v>46069</v>
      </c>
      <c r="C39" t="s">
        <v>13</v>
      </c>
      <c r="D39" t="s">
        <v>14</v>
      </c>
      <c r="E39" t="s">
        <v>17</v>
      </c>
      <c r="F39">
        <v>3</v>
      </c>
      <c r="G39">
        <v>15000</v>
      </c>
      <c r="H39">
        <v>9500</v>
      </c>
      <c r="I39" t="str">
        <f>PROPER(TRIM(ventas_raw_200[[#This Row],[Sucursal]]))</f>
        <v>Posadas</v>
      </c>
      <c r="J39" t="str">
        <f>PROPER(TRIM(ventas_raw_200[[#This Row],[Vendedor]]))</f>
        <v>Juan Perez</v>
      </c>
      <c r="K39" t="str">
        <f>PROPER(TRIM(ventas_raw_200[[#This Row],[Producto]]))</f>
        <v>Mouse Inalámbrico Ergonómico</v>
      </c>
      <c r="L39">
        <f>LEN(ventas_raw_200[[#This Row],[ID_Transaccion]])</f>
        <v>10</v>
      </c>
      <c r="M39" t="str">
        <f>TRIM(ventas_raw_200[[#This Row],[ID_Transaccion]])</f>
        <v>TRX-1038</v>
      </c>
      <c r="N39">
        <f>LEN(ventas_raw_200[[#This Row],[ID_Transaccion_Limpio]])</f>
        <v>8</v>
      </c>
      <c r="O39" s="2">
        <f>IFERROR(IF(ventas_raw_200[[#This Row],[Cantidad]]&lt;0,1,ventas_raw_200[[#This Row],[Cantidad]]),1)</f>
        <v>3</v>
      </c>
      <c r="P39" t="str">
        <f>IFERROR(_xlfn.XLOOKUP(K39,maestro_productos_15!$B$2:$B$16,maestro_productos_15!$C$2:$C$16),"No encontrada")</f>
        <v>Tecnología</v>
      </c>
      <c r="Q39" t="str">
        <f>IFERROR(_xlfn.XLOOKUP(K39,maestro_productos_15!$B$2:$B$16,maestro_productos_15!$D$2:$D$16),"No encontrada")</f>
        <v>TechImport S.R.L.</v>
      </c>
      <c r="R39">
        <f>ventas_raw_200[[#This Row],[Precio_Unitario]]*ventas_raw_200[[#This Row],[Cantidad_Auditada]]</f>
        <v>45000</v>
      </c>
      <c r="S39">
        <f>ventas_raw_200[[#This Row],[Costo_Unitario]]*ventas_raw_200[[#This Row],[Cantidad_Auditada]]</f>
        <v>28500</v>
      </c>
      <c r="T39">
        <f>ventas_raw_200[[#This Row],[Total_Venta]]-ventas_raw_200[[#This Row],[Total_Costo]]</f>
        <v>16500</v>
      </c>
      <c r="U39" s="3" cm="1">
        <f t="array" ref="U39">_xlfn.IFS(AND(G39&gt;25000,I39="Corrientes"),O39*G39*0.06,G39&gt;25000,O39*G39*0.04,TRUE,O39*G39*0.02)</f>
        <v>900</v>
      </c>
    </row>
    <row r="40" spans="1:21" x14ac:dyDescent="0.25">
      <c r="A40" t="s">
        <v>81</v>
      </c>
      <c r="B40" s="1">
        <v>46026</v>
      </c>
      <c r="C40" t="s">
        <v>13</v>
      </c>
      <c r="D40" t="s">
        <v>33</v>
      </c>
      <c r="E40" t="s">
        <v>60</v>
      </c>
      <c r="F40">
        <v>2</v>
      </c>
      <c r="G40">
        <v>8500</v>
      </c>
      <c r="H40">
        <v>4800</v>
      </c>
      <c r="I40" t="str">
        <f>PROPER(TRIM(ventas_raw_200[[#This Row],[Sucursal]]))</f>
        <v>Posadas</v>
      </c>
      <c r="J40" t="str">
        <f>PROPER(TRIM(ventas_raw_200[[#This Row],[Vendedor]]))</f>
        <v>Juan Perez</v>
      </c>
      <c r="K40" t="str">
        <f>PROPER(TRIM(ventas_raw_200[[#This Row],[Producto]]))</f>
        <v>Mates De Madera Calada</v>
      </c>
      <c r="L40">
        <f>LEN(ventas_raw_200[[#This Row],[ID_Transaccion]])</f>
        <v>8</v>
      </c>
      <c r="M40" t="str">
        <f>TRIM(ventas_raw_200[[#This Row],[ID_Transaccion]])</f>
        <v>TRX-1039</v>
      </c>
      <c r="N40">
        <f>LEN(ventas_raw_200[[#This Row],[ID_Transaccion_Limpio]])</f>
        <v>8</v>
      </c>
      <c r="O40" s="2">
        <f>IFERROR(IF(ventas_raw_200[[#This Row],[Cantidad]]&lt;0,1,ventas_raw_200[[#This Row],[Cantidad]]),1)</f>
        <v>2</v>
      </c>
      <c r="P40" t="str">
        <f>IFERROR(_xlfn.XLOOKUP(K40,maestro_productos_15!$B$2:$B$16,maestro_productos_15!$C$2:$C$16),"No encontrada")</f>
        <v>Bazar</v>
      </c>
      <c r="Q40" t="str">
        <f>IFERROR(_xlfn.XLOOKUP(K40,maestro_productos_15!$B$2:$B$16,maestro_productos_15!$D$2:$D$16),"No encontrada")</f>
        <v>Artesanías Guaraníes</v>
      </c>
      <c r="R40">
        <f>ventas_raw_200[[#This Row],[Precio_Unitario]]*ventas_raw_200[[#This Row],[Cantidad_Auditada]]</f>
        <v>17000</v>
      </c>
      <c r="S40">
        <f>ventas_raw_200[[#This Row],[Costo_Unitario]]*ventas_raw_200[[#This Row],[Cantidad_Auditada]]</f>
        <v>9600</v>
      </c>
      <c r="T40">
        <f>ventas_raw_200[[#This Row],[Total_Venta]]-ventas_raw_200[[#This Row],[Total_Costo]]</f>
        <v>7400</v>
      </c>
      <c r="U40" s="3" cm="1">
        <f t="array" ref="U40">_xlfn.IFS(AND(G40&gt;25000,I40="Corrientes"),O40*G40*0.06,G40&gt;25000,O40*G40*0.04,TRUE,O40*G40*0.02)</f>
        <v>340</v>
      </c>
    </row>
    <row r="41" spans="1:21" x14ac:dyDescent="0.25">
      <c r="A41" t="s">
        <v>82</v>
      </c>
      <c r="B41" s="1">
        <v>46084</v>
      </c>
      <c r="C41" t="s">
        <v>19</v>
      </c>
      <c r="D41" t="s">
        <v>30</v>
      </c>
      <c r="E41" t="s">
        <v>50</v>
      </c>
      <c r="F41">
        <v>23</v>
      </c>
      <c r="G41">
        <v>32000</v>
      </c>
      <c r="H41">
        <v>21000</v>
      </c>
      <c r="I41" t="str">
        <f>PROPER(TRIM(ventas_raw_200[[#This Row],[Sucursal]]))</f>
        <v>Resistencia</v>
      </c>
      <c r="J41" t="str">
        <f>PROPER(TRIM(ventas_raw_200[[#This Row],[Vendedor]]))</f>
        <v>Maria Gomez</v>
      </c>
      <c r="K41" t="str">
        <f>PROPER(TRIM(ventas_raw_200[[#This Row],[Producto]]))</f>
        <v>Termo Acero Inoxidable 1.3L</v>
      </c>
      <c r="L41">
        <f>LEN(ventas_raw_200[[#This Row],[ID_Transaccion]])</f>
        <v>8</v>
      </c>
      <c r="M41" t="str">
        <f>TRIM(ventas_raw_200[[#This Row],[ID_Transaccion]])</f>
        <v>TRX-1040</v>
      </c>
      <c r="N41">
        <f>LEN(ventas_raw_200[[#This Row],[ID_Transaccion_Limpio]])</f>
        <v>8</v>
      </c>
      <c r="O41" s="2">
        <f>IFERROR(IF(ventas_raw_200[[#This Row],[Cantidad]]&lt;0,1,ventas_raw_200[[#This Row],[Cantidad]]),1)</f>
        <v>23</v>
      </c>
      <c r="P41" t="str">
        <f>IFERROR(_xlfn.XLOOKUP(K41,maestro_productos_15!$B$2:$B$16,maestro_productos_15!$C$2:$C$16),"No encontrada")</f>
        <v>Bazar</v>
      </c>
      <c r="Q41" t="str">
        <f>IFERROR(_xlfn.XLOOKUP(K41,maestro_productos_15!$B$2:$B$16,maestro_productos_15!$D$2:$D$16),"No encontrada")</f>
        <v>Distribuidora del Nordeste</v>
      </c>
      <c r="R41">
        <f>ventas_raw_200[[#This Row],[Precio_Unitario]]*ventas_raw_200[[#This Row],[Cantidad_Auditada]]</f>
        <v>736000</v>
      </c>
      <c r="S41">
        <f>ventas_raw_200[[#This Row],[Costo_Unitario]]*ventas_raw_200[[#This Row],[Cantidad_Auditada]]</f>
        <v>483000</v>
      </c>
      <c r="T41">
        <f>ventas_raw_200[[#This Row],[Total_Venta]]-ventas_raw_200[[#This Row],[Total_Costo]]</f>
        <v>253000</v>
      </c>
      <c r="U41" s="3" cm="1">
        <f t="array" ref="U41">_xlfn.IFS(AND(G41&gt;25000,I41="Corrientes"),O41*G41*0.06,G41&gt;25000,O41*G41*0.04,TRUE,O41*G41*0.02)</f>
        <v>29440</v>
      </c>
    </row>
    <row r="42" spans="1:21" x14ac:dyDescent="0.25">
      <c r="A42" t="s">
        <v>83</v>
      </c>
      <c r="B42" s="1">
        <v>46108</v>
      </c>
      <c r="C42" t="s">
        <v>19</v>
      </c>
      <c r="D42" t="s">
        <v>69</v>
      </c>
      <c r="E42" t="s">
        <v>84</v>
      </c>
      <c r="F42">
        <v>25</v>
      </c>
      <c r="G42">
        <v>28000</v>
      </c>
      <c r="H42">
        <v>18000</v>
      </c>
      <c r="I42" t="str">
        <f>PROPER(TRIM(ventas_raw_200[[#This Row],[Sucursal]]))</f>
        <v>Resistencia</v>
      </c>
      <c r="J42" t="str">
        <f>PROPER(TRIM(ventas_raw_200[[#This Row],[Vendedor]]))</f>
        <v>Carlos Ruiz</v>
      </c>
      <c r="K42" t="str">
        <f>PROPER(TRIM(ventas_raw_200[[#This Row],[Producto]]))</f>
        <v>Auriculares Bluetooth Pro</v>
      </c>
      <c r="L42">
        <f>LEN(ventas_raw_200[[#This Row],[ID_Transaccion]])</f>
        <v>8</v>
      </c>
      <c r="M42" t="str">
        <f>TRIM(ventas_raw_200[[#This Row],[ID_Transaccion]])</f>
        <v>TRX-1041</v>
      </c>
      <c r="N42">
        <f>LEN(ventas_raw_200[[#This Row],[ID_Transaccion_Limpio]])</f>
        <v>8</v>
      </c>
      <c r="O42" s="2">
        <f>IFERROR(IF(ventas_raw_200[[#This Row],[Cantidad]]&lt;0,1,ventas_raw_200[[#This Row],[Cantidad]]),1)</f>
        <v>25</v>
      </c>
      <c r="P42" t="str">
        <f>IFERROR(_xlfn.XLOOKUP(K42,maestro_productos_15!$B$2:$B$16,maestro_productos_15!$C$2:$C$16),"No encontrada")</f>
        <v>Tecnología</v>
      </c>
      <c r="Q42" t="str">
        <f>IFERROR(_xlfn.XLOOKUP(K42,maestro_productos_15!$B$2:$B$16,maestro_productos_15!$D$2:$D$16),"No encontrada")</f>
        <v>TechImport S.R.L.</v>
      </c>
      <c r="R42">
        <f>ventas_raw_200[[#This Row],[Precio_Unitario]]*ventas_raw_200[[#This Row],[Cantidad_Auditada]]</f>
        <v>700000</v>
      </c>
      <c r="S42">
        <f>ventas_raw_200[[#This Row],[Costo_Unitario]]*ventas_raw_200[[#This Row],[Cantidad_Auditada]]</f>
        <v>450000</v>
      </c>
      <c r="T42">
        <f>ventas_raw_200[[#This Row],[Total_Venta]]-ventas_raw_200[[#This Row],[Total_Costo]]</f>
        <v>250000</v>
      </c>
      <c r="U42" s="3" cm="1">
        <f t="array" ref="U42">_xlfn.IFS(AND(G42&gt;25000,I42="Corrientes"),O42*G42*0.06,G42&gt;25000,O42*G42*0.04,TRUE,O42*G42*0.02)</f>
        <v>28000</v>
      </c>
    </row>
    <row r="43" spans="1:21" x14ac:dyDescent="0.25">
      <c r="A43" t="s">
        <v>85</v>
      </c>
      <c r="B43" s="1">
        <v>46060</v>
      </c>
      <c r="C43" t="s">
        <v>9</v>
      </c>
      <c r="D43" t="s">
        <v>14</v>
      </c>
      <c r="E43" t="s">
        <v>31</v>
      </c>
      <c r="F43">
        <v>17</v>
      </c>
      <c r="G43">
        <v>29500</v>
      </c>
      <c r="H43">
        <v>20000</v>
      </c>
      <c r="I43" t="str">
        <f>PROPER(TRIM(ventas_raw_200[[#This Row],[Sucursal]]))</f>
        <v>Corrientes</v>
      </c>
      <c r="J43" t="str">
        <f>PROPER(TRIM(ventas_raw_200[[#This Row],[Vendedor]]))</f>
        <v>Juan Perez</v>
      </c>
      <c r="K43" t="str">
        <f>PROPER(TRIM(ventas_raw_200[[#This Row],[Producto]]))</f>
        <v>Alimento Gato Castrado 10Kg</v>
      </c>
      <c r="L43">
        <f>LEN(ventas_raw_200[[#This Row],[ID_Transaccion]])</f>
        <v>8</v>
      </c>
      <c r="M43" t="str">
        <f>TRIM(ventas_raw_200[[#This Row],[ID_Transaccion]])</f>
        <v>TRX-1042</v>
      </c>
      <c r="N43">
        <f>LEN(ventas_raw_200[[#This Row],[ID_Transaccion_Limpio]])</f>
        <v>8</v>
      </c>
      <c r="O43" s="2">
        <f>IFERROR(IF(ventas_raw_200[[#This Row],[Cantidad]]&lt;0,1,ventas_raw_200[[#This Row],[Cantidad]]),1)</f>
        <v>17</v>
      </c>
      <c r="P43" t="str">
        <f>IFERROR(_xlfn.XLOOKUP(K43,maestro_productos_15!$B$2:$B$16,maestro_productos_15!$C$2:$C$16),"No encontrada")</f>
        <v>Mascotas</v>
      </c>
      <c r="Q43" t="str">
        <f>IFERROR(_xlfn.XLOOKUP(K43,maestro_productos_15!$B$2:$B$16,maestro_productos_15!$D$2:$D$16),"No encontrada")</f>
        <v>NutriDog Arg</v>
      </c>
      <c r="R43">
        <f>ventas_raw_200[[#This Row],[Precio_Unitario]]*ventas_raw_200[[#This Row],[Cantidad_Auditada]]</f>
        <v>501500</v>
      </c>
      <c r="S43">
        <f>ventas_raw_200[[#This Row],[Costo_Unitario]]*ventas_raw_200[[#This Row],[Cantidad_Auditada]]</f>
        <v>340000</v>
      </c>
      <c r="T43">
        <f>ventas_raw_200[[#This Row],[Total_Venta]]-ventas_raw_200[[#This Row],[Total_Costo]]</f>
        <v>161500</v>
      </c>
      <c r="U43" s="3" cm="1">
        <f t="array" ref="U43">_xlfn.IFS(AND(G43&gt;25000,I43="Corrientes"),O43*G43*0.06,G43&gt;25000,O43*G43*0.04,TRUE,O43*G43*0.02)</f>
        <v>30090</v>
      </c>
    </row>
    <row r="44" spans="1:21" x14ac:dyDescent="0.25">
      <c r="A44" t="s">
        <v>86</v>
      </c>
      <c r="B44" s="1">
        <v>46050</v>
      </c>
      <c r="C44" t="s">
        <v>19</v>
      </c>
      <c r="D44" t="s">
        <v>30</v>
      </c>
      <c r="E44" t="s">
        <v>34</v>
      </c>
      <c r="F44">
        <v>18</v>
      </c>
      <c r="G44">
        <v>22000</v>
      </c>
      <c r="H44">
        <v>14000</v>
      </c>
      <c r="I44" t="str">
        <f>PROPER(TRIM(ventas_raw_200[[#This Row],[Sucursal]]))</f>
        <v>Resistencia</v>
      </c>
      <c r="J44" t="str">
        <f>PROPER(TRIM(ventas_raw_200[[#This Row],[Vendedor]]))</f>
        <v>Maria Gomez</v>
      </c>
      <c r="K44" t="str">
        <f>PROPER(TRIM(ventas_raw_200[[#This Row],[Producto]]))</f>
        <v>Cargador Rápido Usb-C 65W</v>
      </c>
      <c r="L44">
        <f>LEN(ventas_raw_200[[#This Row],[ID_Transaccion]])</f>
        <v>8</v>
      </c>
      <c r="M44" t="str">
        <f>TRIM(ventas_raw_200[[#This Row],[ID_Transaccion]])</f>
        <v>TRX-1043</v>
      </c>
      <c r="N44">
        <f>LEN(ventas_raw_200[[#This Row],[ID_Transaccion_Limpio]])</f>
        <v>8</v>
      </c>
      <c r="O44" s="2">
        <f>IFERROR(IF(ventas_raw_200[[#This Row],[Cantidad]]&lt;0,1,ventas_raw_200[[#This Row],[Cantidad]]),1)</f>
        <v>18</v>
      </c>
      <c r="P44" t="str">
        <f>IFERROR(_xlfn.XLOOKUP(K44,maestro_productos_15!$B$2:$B$16,maestro_productos_15!$C$2:$C$16),"No encontrada")</f>
        <v>Tecnología</v>
      </c>
      <c r="Q44" t="str">
        <f>IFERROR(_xlfn.XLOOKUP(K44,maestro_productos_15!$B$2:$B$16,maestro_productos_15!$D$2:$D$16),"No encontrada")</f>
        <v>TechImport S.R.L.</v>
      </c>
      <c r="R44">
        <f>ventas_raw_200[[#This Row],[Precio_Unitario]]*ventas_raw_200[[#This Row],[Cantidad_Auditada]]</f>
        <v>396000</v>
      </c>
      <c r="S44">
        <f>ventas_raw_200[[#This Row],[Costo_Unitario]]*ventas_raw_200[[#This Row],[Cantidad_Auditada]]</f>
        <v>252000</v>
      </c>
      <c r="T44">
        <f>ventas_raw_200[[#This Row],[Total_Venta]]-ventas_raw_200[[#This Row],[Total_Costo]]</f>
        <v>144000</v>
      </c>
      <c r="U44" s="3" cm="1">
        <f t="array" ref="U44">_xlfn.IFS(AND(G44&gt;25000,I44="Corrientes"),O44*G44*0.06,G44&gt;25000,O44*G44*0.04,TRUE,O44*G44*0.02)</f>
        <v>7920</v>
      </c>
    </row>
    <row r="45" spans="1:21" x14ac:dyDescent="0.25">
      <c r="A45" t="s">
        <v>87</v>
      </c>
      <c r="B45" s="1">
        <v>46084</v>
      </c>
      <c r="C45" t="s">
        <v>38</v>
      </c>
      <c r="D45" t="s">
        <v>20</v>
      </c>
      <c r="E45" t="s">
        <v>88</v>
      </c>
      <c r="F45">
        <v>22</v>
      </c>
      <c r="G45">
        <v>6200</v>
      </c>
      <c r="H45">
        <v>3800</v>
      </c>
      <c r="I45" t="str">
        <f>PROPER(TRIM(ventas_raw_200[[#This Row],[Sucursal]]))</f>
        <v>Posadas</v>
      </c>
      <c r="J45" t="str">
        <f>PROPER(TRIM(ventas_raw_200[[#This Row],[Vendedor]]))</f>
        <v>Ana Martinez</v>
      </c>
      <c r="K45" t="str">
        <f>PROPER(TRIM(ventas_raw_200[[#This Row],[Producto]]))</f>
        <v>Shampoo Canino Neutro 500Ml</v>
      </c>
      <c r="L45">
        <f>LEN(ventas_raw_200[[#This Row],[ID_Transaccion]])</f>
        <v>8</v>
      </c>
      <c r="M45" t="str">
        <f>TRIM(ventas_raw_200[[#This Row],[ID_Transaccion]])</f>
        <v>TRX-1044</v>
      </c>
      <c r="N45">
        <f>LEN(ventas_raw_200[[#This Row],[ID_Transaccion_Limpio]])</f>
        <v>8</v>
      </c>
      <c r="O45" s="2">
        <f>IFERROR(IF(ventas_raw_200[[#This Row],[Cantidad]]&lt;0,1,ventas_raw_200[[#This Row],[Cantidad]]),1)</f>
        <v>22</v>
      </c>
      <c r="P45" t="str">
        <f>IFERROR(_xlfn.XLOOKUP(K45,maestro_productos_15!$B$2:$B$16,maestro_productos_15!$C$2:$C$16),"No encontrada")</f>
        <v>Mascotas</v>
      </c>
      <c r="Q45" t="str">
        <f>IFERROR(_xlfn.XLOOKUP(K45,maestro_productos_15!$B$2:$B$16,maestro_productos_15!$D$2:$D$16),"No encontrada")</f>
        <v>PetStyle Litoral</v>
      </c>
      <c r="R45">
        <f>ventas_raw_200[[#This Row],[Precio_Unitario]]*ventas_raw_200[[#This Row],[Cantidad_Auditada]]</f>
        <v>136400</v>
      </c>
      <c r="S45">
        <f>ventas_raw_200[[#This Row],[Costo_Unitario]]*ventas_raw_200[[#This Row],[Cantidad_Auditada]]</f>
        <v>83600</v>
      </c>
      <c r="T45">
        <f>ventas_raw_200[[#This Row],[Total_Venta]]-ventas_raw_200[[#This Row],[Total_Costo]]</f>
        <v>52800</v>
      </c>
      <c r="U45" s="3" cm="1">
        <f t="array" ref="U45">_xlfn.IFS(AND(G45&gt;25000,I45="Corrientes"),O45*G45*0.06,G45&gt;25000,O45*G45*0.04,TRUE,O45*G45*0.02)</f>
        <v>2728</v>
      </c>
    </row>
    <row r="46" spans="1:21" x14ac:dyDescent="0.25">
      <c r="A46" t="s">
        <v>89</v>
      </c>
      <c r="B46" s="1">
        <v>46107</v>
      </c>
      <c r="C46" t="s">
        <v>9</v>
      </c>
      <c r="D46" t="s">
        <v>10</v>
      </c>
      <c r="E46" t="s">
        <v>62</v>
      </c>
      <c r="F46">
        <v>9</v>
      </c>
      <c r="G46">
        <v>19500</v>
      </c>
      <c r="H46">
        <v>12000</v>
      </c>
      <c r="I46" t="str">
        <f>PROPER(TRIM(ventas_raw_200[[#This Row],[Sucursal]]))</f>
        <v>Corrientes</v>
      </c>
      <c r="J46" t="str">
        <f>PROPER(TRIM(ventas_raw_200[[#This Row],[Vendedor]]))</f>
        <v>Ana Martinez</v>
      </c>
      <c r="K46" t="str">
        <f>PROPER(TRIM(ventas_raw_200[[#This Row],[Producto]]))</f>
        <v>Soporte Regulable Notebook</v>
      </c>
      <c r="L46">
        <f>LEN(ventas_raw_200[[#This Row],[ID_Transaccion]])</f>
        <v>8</v>
      </c>
      <c r="M46" t="str">
        <f>TRIM(ventas_raw_200[[#This Row],[ID_Transaccion]])</f>
        <v>TRX-1045</v>
      </c>
      <c r="N46">
        <f>LEN(ventas_raw_200[[#This Row],[ID_Transaccion_Limpio]])</f>
        <v>8</v>
      </c>
      <c r="O46" s="2">
        <f>IFERROR(IF(ventas_raw_200[[#This Row],[Cantidad]]&lt;0,1,ventas_raw_200[[#This Row],[Cantidad]]),1)</f>
        <v>9</v>
      </c>
      <c r="P46" t="str">
        <f>IFERROR(_xlfn.XLOOKUP(K46,maestro_productos_15!$B$2:$B$16,maestro_productos_15!$C$2:$C$16),"No encontrada")</f>
        <v>Tecnología</v>
      </c>
      <c r="Q46" t="str">
        <f>IFERROR(_xlfn.XLOOKUP(K46,maestro_productos_15!$B$2:$B$16,maestro_productos_15!$D$2:$D$16),"No encontrada")</f>
        <v>TechImport S.R.L.</v>
      </c>
      <c r="R46">
        <f>ventas_raw_200[[#This Row],[Precio_Unitario]]*ventas_raw_200[[#This Row],[Cantidad_Auditada]]</f>
        <v>175500</v>
      </c>
      <c r="S46">
        <f>ventas_raw_200[[#This Row],[Costo_Unitario]]*ventas_raw_200[[#This Row],[Cantidad_Auditada]]</f>
        <v>108000</v>
      </c>
      <c r="T46">
        <f>ventas_raw_200[[#This Row],[Total_Venta]]-ventas_raw_200[[#This Row],[Total_Costo]]</f>
        <v>67500</v>
      </c>
      <c r="U46" s="3" cm="1">
        <f t="array" ref="U46">_xlfn.IFS(AND(G46&gt;25000,I46="Corrientes"),O46*G46*0.06,G46&gt;25000,O46*G46*0.04,TRUE,O46*G46*0.02)</f>
        <v>3510</v>
      </c>
    </row>
    <row r="47" spans="1:21" x14ac:dyDescent="0.25">
      <c r="A47" t="s">
        <v>90</v>
      </c>
      <c r="B47" s="1">
        <v>46075</v>
      </c>
      <c r="C47" t="s">
        <v>38</v>
      </c>
      <c r="D47" t="s">
        <v>20</v>
      </c>
      <c r="E47" t="s">
        <v>50</v>
      </c>
      <c r="F47">
        <v>16</v>
      </c>
      <c r="G47">
        <v>32000</v>
      </c>
      <c r="H47">
        <v>21000</v>
      </c>
      <c r="I47" t="str">
        <f>PROPER(TRIM(ventas_raw_200[[#This Row],[Sucursal]]))</f>
        <v>Posadas</v>
      </c>
      <c r="J47" t="str">
        <f>PROPER(TRIM(ventas_raw_200[[#This Row],[Vendedor]]))</f>
        <v>Ana Martinez</v>
      </c>
      <c r="K47" t="str">
        <f>PROPER(TRIM(ventas_raw_200[[#This Row],[Producto]]))</f>
        <v>Termo Acero Inoxidable 1.3L</v>
      </c>
      <c r="L47">
        <f>LEN(ventas_raw_200[[#This Row],[ID_Transaccion]])</f>
        <v>8</v>
      </c>
      <c r="M47" t="str">
        <f>TRIM(ventas_raw_200[[#This Row],[ID_Transaccion]])</f>
        <v>TRX-1046</v>
      </c>
      <c r="N47">
        <f>LEN(ventas_raw_200[[#This Row],[ID_Transaccion_Limpio]])</f>
        <v>8</v>
      </c>
      <c r="O47" s="2">
        <f>IFERROR(IF(ventas_raw_200[[#This Row],[Cantidad]]&lt;0,1,ventas_raw_200[[#This Row],[Cantidad]]),1)</f>
        <v>16</v>
      </c>
      <c r="P47" t="str">
        <f>IFERROR(_xlfn.XLOOKUP(K47,maestro_productos_15!$B$2:$B$16,maestro_productos_15!$C$2:$C$16),"No encontrada")</f>
        <v>Bazar</v>
      </c>
      <c r="Q47" t="str">
        <f>IFERROR(_xlfn.XLOOKUP(K47,maestro_productos_15!$B$2:$B$16,maestro_productos_15!$D$2:$D$16),"No encontrada")</f>
        <v>Distribuidora del Nordeste</v>
      </c>
      <c r="R47">
        <f>ventas_raw_200[[#This Row],[Precio_Unitario]]*ventas_raw_200[[#This Row],[Cantidad_Auditada]]</f>
        <v>512000</v>
      </c>
      <c r="S47">
        <f>ventas_raw_200[[#This Row],[Costo_Unitario]]*ventas_raw_200[[#This Row],[Cantidad_Auditada]]</f>
        <v>336000</v>
      </c>
      <c r="T47">
        <f>ventas_raw_200[[#This Row],[Total_Venta]]-ventas_raw_200[[#This Row],[Total_Costo]]</f>
        <v>176000</v>
      </c>
      <c r="U47" s="3" cm="1">
        <f t="array" ref="U47">_xlfn.IFS(AND(G47&gt;25000,I47="Corrientes"),O47*G47*0.06,G47&gt;25000,O47*G47*0.04,TRUE,O47*G47*0.02)</f>
        <v>20480</v>
      </c>
    </row>
    <row r="48" spans="1:21" x14ac:dyDescent="0.25">
      <c r="A48" t="s">
        <v>91</v>
      </c>
      <c r="B48" s="1">
        <v>46024</v>
      </c>
      <c r="C48" t="s">
        <v>56</v>
      </c>
      <c r="D48" t="s">
        <v>20</v>
      </c>
      <c r="E48" t="s">
        <v>67</v>
      </c>
      <c r="F48">
        <v>1</v>
      </c>
      <c r="G48">
        <v>6200</v>
      </c>
      <c r="H48">
        <v>3800</v>
      </c>
      <c r="I48" t="str">
        <f>PROPER(TRIM(ventas_raw_200[[#This Row],[Sucursal]]))</f>
        <v>Resistencia</v>
      </c>
      <c r="J48" t="str">
        <f>PROPER(TRIM(ventas_raw_200[[#This Row],[Vendedor]]))</f>
        <v>Ana Martinez</v>
      </c>
      <c r="K48" t="str">
        <f>PROPER(TRIM(ventas_raw_200[[#This Row],[Producto]]))</f>
        <v>Shampoo Canino Neutro 500Ml</v>
      </c>
      <c r="L48">
        <f>LEN(ventas_raw_200[[#This Row],[ID_Transaccion]])</f>
        <v>10</v>
      </c>
      <c r="M48" t="str">
        <f>TRIM(ventas_raw_200[[#This Row],[ID_Transaccion]])</f>
        <v>TRX-1047</v>
      </c>
      <c r="N48">
        <f>LEN(ventas_raw_200[[#This Row],[ID_Transaccion_Limpio]])</f>
        <v>8</v>
      </c>
      <c r="O48" s="2">
        <f>IFERROR(IF(ventas_raw_200[[#This Row],[Cantidad]]&lt;0,1,ventas_raw_200[[#This Row],[Cantidad]]),1)</f>
        <v>1</v>
      </c>
      <c r="P48" t="str">
        <f>IFERROR(_xlfn.XLOOKUP(K48,maestro_productos_15!$B$2:$B$16,maestro_productos_15!$C$2:$C$16),"No encontrada")</f>
        <v>Mascotas</v>
      </c>
      <c r="Q48" t="str">
        <f>IFERROR(_xlfn.XLOOKUP(K48,maestro_productos_15!$B$2:$B$16,maestro_productos_15!$D$2:$D$16),"No encontrada")</f>
        <v>PetStyle Litoral</v>
      </c>
      <c r="R48">
        <f>ventas_raw_200[[#This Row],[Precio_Unitario]]*ventas_raw_200[[#This Row],[Cantidad_Auditada]]</f>
        <v>6200</v>
      </c>
      <c r="S48">
        <f>ventas_raw_200[[#This Row],[Costo_Unitario]]*ventas_raw_200[[#This Row],[Cantidad_Auditada]]</f>
        <v>3800</v>
      </c>
      <c r="T48">
        <f>ventas_raw_200[[#This Row],[Total_Venta]]-ventas_raw_200[[#This Row],[Total_Costo]]</f>
        <v>2400</v>
      </c>
      <c r="U48" s="3" cm="1">
        <f t="array" ref="U48">_xlfn.IFS(AND(G48&gt;25000,I48="Corrientes"),O48*G48*0.06,G48&gt;25000,O48*G48*0.04,TRUE,O48*G48*0.02)</f>
        <v>124</v>
      </c>
    </row>
    <row r="49" spans="1:21" x14ac:dyDescent="0.25">
      <c r="A49" t="s">
        <v>92</v>
      </c>
      <c r="B49" s="1">
        <v>46086</v>
      </c>
      <c r="C49" t="s">
        <v>56</v>
      </c>
      <c r="D49" t="s">
        <v>49</v>
      </c>
      <c r="E49" t="s">
        <v>93</v>
      </c>
      <c r="F49">
        <v>18</v>
      </c>
      <c r="G49">
        <v>3800</v>
      </c>
      <c r="H49">
        <v>2500</v>
      </c>
      <c r="I49" t="str">
        <f>PROPER(TRIM(ventas_raw_200[[#This Row],[Sucursal]]))</f>
        <v>Resistencia</v>
      </c>
      <c r="J49" t="str">
        <f>PROPER(TRIM(ventas_raw_200[[#This Row],[Vendedor]]))</f>
        <v>Carlos Ruiz</v>
      </c>
      <c r="K49" t="str">
        <f>PROPER(TRIM(ventas_raw_200[[#This Row],[Producto]]))</f>
        <v>Yerba Mate Premium 1Kg</v>
      </c>
      <c r="L49">
        <f>LEN(ventas_raw_200[[#This Row],[ID_Transaccion]])</f>
        <v>8</v>
      </c>
      <c r="M49" t="str">
        <f>TRIM(ventas_raw_200[[#This Row],[ID_Transaccion]])</f>
        <v>TRX-1048</v>
      </c>
      <c r="N49">
        <f>LEN(ventas_raw_200[[#This Row],[ID_Transaccion_Limpio]])</f>
        <v>8</v>
      </c>
      <c r="O49" s="2">
        <f>IFERROR(IF(ventas_raw_200[[#This Row],[Cantidad]]&lt;0,1,ventas_raw_200[[#This Row],[Cantidad]]),1)</f>
        <v>18</v>
      </c>
      <c r="P49" t="str">
        <f>IFERROR(_xlfn.XLOOKUP(K49,maestro_productos_15!$B$2:$B$16,maestro_productos_15!$C$2:$C$16),"No encontrada")</f>
        <v>Alimentos</v>
      </c>
      <c r="Q49" t="str">
        <f>IFERROR(_xlfn.XLOOKUP(K49,maestro_productos_15!$B$2:$B$16,maestro_productos_15!$D$2:$D$16),"No encontrada")</f>
        <v>Cooperativa Neike</v>
      </c>
      <c r="R49">
        <f>ventas_raw_200[[#This Row],[Precio_Unitario]]*ventas_raw_200[[#This Row],[Cantidad_Auditada]]</f>
        <v>68400</v>
      </c>
      <c r="S49">
        <f>ventas_raw_200[[#This Row],[Costo_Unitario]]*ventas_raw_200[[#This Row],[Cantidad_Auditada]]</f>
        <v>45000</v>
      </c>
      <c r="T49">
        <f>ventas_raw_200[[#This Row],[Total_Venta]]-ventas_raw_200[[#This Row],[Total_Costo]]</f>
        <v>23400</v>
      </c>
      <c r="U49" s="3" cm="1">
        <f t="array" ref="U49">_xlfn.IFS(AND(G49&gt;25000,I49="Corrientes"),O49*G49*0.06,G49&gt;25000,O49*G49*0.04,TRUE,O49*G49*0.02)</f>
        <v>1368</v>
      </c>
    </row>
    <row r="50" spans="1:21" x14ac:dyDescent="0.25">
      <c r="A50" t="s">
        <v>94</v>
      </c>
      <c r="B50" s="1">
        <v>46037</v>
      </c>
      <c r="C50" t="s">
        <v>38</v>
      </c>
      <c r="D50" t="s">
        <v>33</v>
      </c>
      <c r="E50" t="s">
        <v>95</v>
      </c>
      <c r="F50">
        <v>12</v>
      </c>
      <c r="G50">
        <v>9200</v>
      </c>
      <c r="H50">
        <v>5500</v>
      </c>
      <c r="I50" t="str">
        <f>PROPER(TRIM(ventas_raw_200[[#This Row],[Sucursal]]))</f>
        <v>Posadas</v>
      </c>
      <c r="J50" t="str">
        <f>PROPER(TRIM(ventas_raw_200[[#This Row],[Vendedor]]))</f>
        <v>Juan Perez</v>
      </c>
      <c r="K50" t="str">
        <f>PROPER(TRIM(ventas_raw_200[[#This Row],[Producto]]))</f>
        <v>Correa Reforzada Canina 3M</v>
      </c>
      <c r="L50">
        <f>LEN(ventas_raw_200[[#This Row],[ID_Transaccion]])</f>
        <v>8</v>
      </c>
      <c r="M50" t="str">
        <f>TRIM(ventas_raw_200[[#This Row],[ID_Transaccion]])</f>
        <v>TRX-1049</v>
      </c>
      <c r="N50">
        <f>LEN(ventas_raw_200[[#This Row],[ID_Transaccion_Limpio]])</f>
        <v>8</v>
      </c>
      <c r="O50" s="2">
        <f>IFERROR(IF(ventas_raw_200[[#This Row],[Cantidad]]&lt;0,1,ventas_raw_200[[#This Row],[Cantidad]]),1)</f>
        <v>12</v>
      </c>
      <c r="P50" t="str">
        <f>IFERROR(_xlfn.XLOOKUP(K50,maestro_productos_15!$B$2:$B$16,maestro_productos_15!$C$2:$C$16),"No encontrada")</f>
        <v>Mascotas</v>
      </c>
      <c r="Q50" t="str">
        <f>IFERROR(_xlfn.XLOOKUP(K50,maestro_productos_15!$B$2:$B$16,maestro_productos_15!$D$2:$D$16),"No encontrada")</f>
        <v>PetStyle Litoral</v>
      </c>
      <c r="R50">
        <f>ventas_raw_200[[#This Row],[Precio_Unitario]]*ventas_raw_200[[#This Row],[Cantidad_Auditada]]</f>
        <v>110400</v>
      </c>
      <c r="S50">
        <f>ventas_raw_200[[#This Row],[Costo_Unitario]]*ventas_raw_200[[#This Row],[Cantidad_Auditada]]</f>
        <v>66000</v>
      </c>
      <c r="T50">
        <f>ventas_raw_200[[#This Row],[Total_Venta]]-ventas_raw_200[[#This Row],[Total_Costo]]</f>
        <v>44400</v>
      </c>
      <c r="U50" s="3" cm="1">
        <f t="array" ref="U50">_xlfn.IFS(AND(G50&gt;25000,I50="Corrientes"),O50*G50*0.06,G50&gt;25000,O50*G50*0.04,TRUE,O50*G50*0.02)</f>
        <v>2208</v>
      </c>
    </row>
    <row r="51" spans="1:21" x14ac:dyDescent="0.25">
      <c r="A51" t="s">
        <v>96</v>
      </c>
      <c r="B51" s="1">
        <v>46103</v>
      </c>
      <c r="C51" t="s">
        <v>19</v>
      </c>
      <c r="D51" t="s">
        <v>20</v>
      </c>
      <c r="E51" t="s">
        <v>74</v>
      </c>
      <c r="F51">
        <v>2</v>
      </c>
      <c r="G51">
        <v>28000</v>
      </c>
      <c r="H51">
        <v>18000</v>
      </c>
      <c r="I51" t="str">
        <f>PROPER(TRIM(ventas_raw_200[[#This Row],[Sucursal]]))</f>
        <v>Resistencia</v>
      </c>
      <c r="J51" t="str">
        <f>PROPER(TRIM(ventas_raw_200[[#This Row],[Vendedor]]))</f>
        <v>Ana Martinez</v>
      </c>
      <c r="K51" t="str">
        <f>PROPER(TRIM(ventas_raw_200[[#This Row],[Producto]]))</f>
        <v>Auriculares Bluetooth Pro</v>
      </c>
      <c r="L51">
        <f>LEN(ventas_raw_200[[#This Row],[ID_Transaccion]])</f>
        <v>10</v>
      </c>
      <c r="M51" t="str">
        <f>TRIM(ventas_raw_200[[#This Row],[ID_Transaccion]])</f>
        <v>TRX-1050</v>
      </c>
      <c r="N51">
        <f>LEN(ventas_raw_200[[#This Row],[ID_Transaccion_Limpio]])</f>
        <v>8</v>
      </c>
      <c r="O51" s="2">
        <f>IFERROR(IF(ventas_raw_200[[#This Row],[Cantidad]]&lt;0,1,ventas_raw_200[[#This Row],[Cantidad]]),1)</f>
        <v>2</v>
      </c>
      <c r="P51" t="str">
        <f>IFERROR(_xlfn.XLOOKUP(K51,maestro_productos_15!$B$2:$B$16,maestro_productos_15!$C$2:$C$16),"No encontrada")</f>
        <v>Tecnología</v>
      </c>
      <c r="Q51" t="str">
        <f>IFERROR(_xlfn.XLOOKUP(K51,maestro_productos_15!$B$2:$B$16,maestro_productos_15!$D$2:$D$16),"No encontrada")</f>
        <v>TechImport S.R.L.</v>
      </c>
      <c r="R51">
        <f>ventas_raw_200[[#This Row],[Precio_Unitario]]*ventas_raw_200[[#This Row],[Cantidad_Auditada]]</f>
        <v>56000</v>
      </c>
      <c r="S51">
        <f>ventas_raw_200[[#This Row],[Costo_Unitario]]*ventas_raw_200[[#This Row],[Cantidad_Auditada]]</f>
        <v>36000</v>
      </c>
      <c r="T51">
        <f>ventas_raw_200[[#This Row],[Total_Venta]]-ventas_raw_200[[#This Row],[Total_Costo]]</f>
        <v>20000</v>
      </c>
      <c r="U51" s="3" cm="1">
        <f t="array" ref="U51">_xlfn.IFS(AND(G51&gt;25000,I51="Corrientes"),O51*G51*0.06,G51&gt;25000,O51*G51*0.04,TRUE,O51*G51*0.02)</f>
        <v>2240</v>
      </c>
    </row>
    <row r="52" spans="1:21" x14ac:dyDescent="0.25">
      <c r="A52" t="s">
        <v>97</v>
      </c>
      <c r="B52" s="1">
        <v>46069</v>
      </c>
      <c r="C52" t="s">
        <v>19</v>
      </c>
      <c r="D52" t="s">
        <v>20</v>
      </c>
      <c r="E52" t="s">
        <v>28</v>
      </c>
      <c r="F52">
        <v>14</v>
      </c>
      <c r="G52">
        <v>35000</v>
      </c>
      <c r="H52">
        <v>24000</v>
      </c>
      <c r="I52" t="str">
        <f>PROPER(TRIM(ventas_raw_200[[#This Row],[Sucursal]]))</f>
        <v>Resistencia</v>
      </c>
      <c r="J52" t="str">
        <f>PROPER(TRIM(ventas_raw_200[[#This Row],[Vendedor]]))</f>
        <v>Ana Martinez</v>
      </c>
      <c r="K52" t="str">
        <f>PROPER(TRIM(ventas_raw_200[[#This Row],[Producto]]))</f>
        <v>Alimento Perro Adulto 15Kg</v>
      </c>
      <c r="L52">
        <f>LEN(ventas_raw_200[[#This Row],[ID_Transaccion]])</f>
        <v>8</v>
      </c>
      <c r="M52" t="str">
        <f>TRIM(ventas_raw_200[[#This Row],[ID_Transaccion]])</f>
        <v>TRX-1051</v>
      </c>
      <c r="N52">
        <f>LEN(ventas_raw_200[[#This Row],[ID_Transaccion_Limpio]])</f>
        <v>8</v>
      </c>
      <c r="O52" s="2">
        <f>IFERROR(IF(ventas_raw_200[[#This Row],[Cantidad]]&lt;0,1,ventas_raw_200[[#This Row],[Cantidad]]),1)</f>
        <v>14</v>
      </c>
      <c r="P52" t="str">
        <f>IFERROR(_xlfn.XLOOKUP(K52,maestro_productos_15!$B$2:$B$16,maestro_productos_15!$C$2:$C$16),"No encontrada")</f>
        <v>Mascotas</v>
      </c>
      <c r="Q52" t="str">
        <f>IFERROR(_xlfn.XLOOKUP(K52,maestro_productos_15!$B$2:$B$16,maestro_productos_15!$D$2:$D$16),"No encontrada")</f>
        <v>NutriDog Arg</v>
      </c>
      <c r="R52">
        <f>ventas_raw_200[[#This Row],[Precio_Unitario]]*ventas_raw_200[[#This Row],[Cantidad_Auditada]]</f>
        <v>490000</v>
      </c>
      <c r="S52">
        <f>ventas_raw_200[[#This Row],[Costo_Unitario]]*ventas_raw_200[[#This Row],[Cantidad_Auditada]]</f>
        <v>336000</v>
      </c>
      <c r="T52">
        <f>ventas_raw_200[[#This Row],[Total_Venta]]-ventas_raw_200[[#This Row],[Total_Costo]]</f>
        <v>154000</v>
      </c>
      <c r="U52" s="3" cm="1">
        <f t="array" ref="U52">_xlfn.IFS(AND(G52&gt;25000,I52="Corrientes"),O52*G52*0.06,G52&gt;25000,O52*G52*0.04,TRUE,O52*G52*0.02)</f>
        <v>19600</v>
      </c>
    </row>
    <row r="53" spans="1:21" x14ac:dyDescent="0.25">
      <c r="A53" t="s">
        <v>98</v>
      </c>
      <c r="B53" s="1">
        <v>46066</v>
      </c>
      <c r="C53" t="s">
        <v>25</v>
      </c>
      <c r="D53" t="s">
        <v>20</v>
      </c>
      <c r="E53" t="s">
        <v>99</v>
      </c>
      <c r="F53">
        <v>14</v>
      </c>
      <c r="G53">
        <v>18500</v>
      </c>
      <c r="H53">
        <v>12500</v>
      </c>
      <c r="I53" t="str">
        <f>PROPER(TRIM(ventas_raw_200[[#This Row],[Sucursal]]))</f>
        <v>Formosa</v>
      </c>
      <c r="J53" t="str">
        <f>PROPER(TRIM(ventas_raw_200[[#This Row],[Vendedor]]))</f>
        <v>Ana Martinez</v>
      </c>
      <c r="K53" t="str">
        <f>PROPER(TRIM(ventas_raw_200[[#This Row],[Producto]]))</f>
        <v>Café En Grano Intenso 1Kg</v>
      </c>
      <c r="L53">
        <f>LEN(ventas_raw_200[[#This Row],[ID_Transaccion]])</f>
        <v>8</v>
      </c>
      <c r="M53" t="str">
        <f>TRIM(ventas_raw_200[[#This Row],[ID_Transaccion]])</f>
        <v>TRX-1052</v>
      </c>
      <c r="N53">
        <f>LEN(ventas_raw_200[[#This Row],[ID_Transaccion_Limpio]])</f>
        <v>8</v>
      </c>
      <c r="O53" s="2">
        <f>IFERROR(IF(ventas_raw_200[[#This Row],[Cantidad]]&lt;0,1,ventas_raw_200[[#This Row],[Cantidad]]),1)</f>
        <v>14</v>
      </c>
      <c r="P53" t="str">
        <f>IFERROR(_xlfn.XLOOKUP(K53,maestro_productos_15!$B$2:$B$16,maestro_productos_15!$C$2:$C$16),"No encontrada")</f>
        <v>Alimentos</v>
      </c>
      <c r="Q53" t="str">
        <f>IFERROR(_xlfn.XLOOKUP(K53,maestro_productos_15!$B$2:$B$16,maestro_productos_15!$D$2:$D$16),"No encontrada")</f>
        <v>Distribuidora del Nordeste</v>
      </c>
      <c r="R53">
        <f>ventas_raw_200[[#This Row],[Precio_Unitario]]*ventas_raw_200[[#This Row],[Cantidad_Auditada]]</f>
        <v>259000</v>
      </c>
      <c r="S53">
        <f>ventas_raw_200[[#This Row],[Costo_Unitario]]*ventas_raw_200[[#This Row],[Cantidad_Auditada]]</f>
        <v>175000</v>
      </c>
      <c r="T53">
        <f>ventas_raw_200[[#This Row],[Total_Venta]]-ventas_raw_200[[#This Row],[Total_Costo]]</f>
        <v>84000</v>
      </c>
      <c r="U53" s="3" cm="1">
        <f t="array" ref="U53">_xlfn.IFS(AND(G53&gt;25000,I53="Corrientes"),O53*G53*0.06,G53&gt;25000,O53*G53*0.04,TRUE,O53*G53*0.02)</f>
        <v>5180</v>
      </c>
    </row>
    <row r="54" spans="1:21" x14ac:dyDescent="0.25">
      <c r="A54" t="s">
        <v>100</v>
      </c>
      <c r="B54" s="1">
        <v>46099</v>
      </c>
      <c r="C54" t="s">
        <v>25</v>
      </c>
      <c r="D54" t="s">
        <v>69</v>
      </c>
      <c r="E54" t="s">
        <v>62</v>
      </c>
      <c r="F54">
        <v>24</v>
      </c>
      <c r="G54">
        <v>19500</v>
      </c>
      <c r="H54">
        <v>12000</v>
      </c>
      <c r="I54" t="str">
        <f>PROPER(TRIM(ventas_raw_200[[#This Row],[Sucursal]]))</f>
        <v>Formosa</v>
      </c>
      <c r="J54" t="str">
        <f>PROPER(TRIM(ventas_raw_200[[#This Row],[Vendedor]]))</f>
        <v>Carlos Ruiz</v>
      </c>
      <c r="K54" t="str">
        <f>PROPER(TRIM(ventas_raw_200[[#This Row],[Producto]]))</f>
        <v>Soporte Regulable Notebook</v>
      </c>
      <c r="L54">
        <f>LEN(ventas_raw_200[[#This Row],[ID_Transaccion]])</f>
        <v>8</v>
      </c>
      <c r="M54" t="str">
        <f>TRIM(ventas_raw_200[[#This Row],[ID_Transaccion]])</f>
        <v>TRX-1053</v>
      </c>
      <c r="N54">
        <f>LEN(ventas_raw_200[[#This Row],[ID_Transaccion_Limpio]])</f>
        <v>8</v>
      </c>
      <c r="O54" s="2">
        <f>IFERROR(IF(ventas_raw_200[[#This Row],[Cantidad]]&lt;0,1,ventas_raw_200[[#This Row],[Cantidad]]),1)</f>
        <v>24</v>
      </c>
      <c r="P54" t="str">
        <f>IFERROR(_xlfn.XLOOKUP(K54,maestro_productos_15!$B$2:$B$16,maestro_productos_15!$C$2:$C$16),"No encontrada")</f>
        <v>Tecnología</v>
      </c>
      <c r="Q54" t="str">
        <f>IFERROR(_xlfn.XLOOKUP(K54,maestro_productos_15!$B$2:$B$16,maestro_productos_15!$D$2:$D$16),"No encontrada")</f>
        <v>TechImport S.R.L.</v>
      </c>
      <c r="R54">
        <f>ventas_raw_200[[#This Row],[Precio_Unitario]]*ventas_raw_200[[#This Row],[Cantidad_Auditada]]</f>
        <v>468000</v>
      </c>
      <c r="S54">
        <f>ventas_raw_200[[#This Row],[Costo_Unitario]]*ventas_raw_200[[#This Row],[Cantidad_Auditada]]</f>
        <v>288000</v>
      </c>
      <c r="T54">
        <f>ventas_raw_200[[#This Row],[Total_Venta]]-ventas_raw_200[[#This Row],[Total_Costo]]</f>
        <v>180000</v>
      </c>
      <c r="U54" s="3" cm="1">
        <f t="array" ref="U54">_xlfn.IFS(AND(G54&gt;25000,I54="Corrientes"),O54*G54*0.06,G54&gt;25000,O54*G54*0.04,TRUE,O54*G54*0.02)</f>
        <v>9360</v>
      </c>
    </row>
    <row r="55" spans="1:21" x14ac:dyDescent="0.25">
      <c r="A55" t="s">
        <v>101</v>
      </c>
      <c r="B55" s="1">
        <v>46104</v>
      </c>
      <c r="C55" t="s">
        <v>25</v>
      </c>
      <c r="D55" t="s">
        <v>14</v>
      </c>
      <c r="E55" t="s">
        <v>28</v>
      </c>
      <c r="F55">
        <v>8</v>
      </c>
      <c r="G55">
        <v>35000</v>
      </c>
      <c r="H55">
        <v>24000</v>
      </c>
      <c r="I55" t="str">
        <f>PROPER(TRIM(ventas_raw_200[[#This Row],[Sucursal]]))</f>
        <v>Formosa</v>
      </c>
      <c r="J55" t="str">
        <f>PROPER(TRIM(ventas_raw_200[[#This Row],[Vendedor]]))</f>
        <v>Juan Perez</v>
      </c>
      <c r="K55" t="str">
        <f>PROPER(TRIM(ventas_raw_200[[#This Row],[Producto]]))</f>
        <v>Alimento Perro Adulto 15Kg</v>
      </c>
      <c r="L55">
        <f>LEN(ventas_raw_200[[#This Row],[ID_Transaccion]])</f>
        <v>8</v>
      </c>
      <c r="M55" t="str">
        <f>TRIM(ventas_raw_200[[#This Row],[ID_Transaccion]])</f>
        <v>TRX-1054</v>
      </c>
      <c r="N55">
        <f>LEN(ventas_raw_200[[#This Row],[ID_Transaccion_Limpio]])</f>
        <v>8</v>
      </c>
      <c r="O55" s="2">
        <f>IFERROR(IF(ventas_raw_200[[#This Row],[Cantidad]]&lt;0,1,ventas_raw_200[[#This Row],[Cantidad]]),1)</f>
        <v>8</v>
      </c>
      <c r="P55" t="str">
        <f>IFERROR(_xlfn.XLOOKUP(K55,maestro_productos_15!$B$2:$B$16,maestro_productos_15!$C$2:$C$16),"No encontrada")</f>
        <v>Mascotas</v>
      </c>
      <c r="Q55" t="str">
        <f>IFERROR(_xlfn.XLOOKUP(K55,maestro_productos_15!$B$2:$B$16,maestro_productos_15!$D$2:$D$16),"No encontrada")</f>
        <v>NutriDog Arg</v>
      </c>
      <c r="R55">
        <f>ventas_raw_200[[#This Row],[Precio_Unitario]]*ventas_raw_200[[#This Row],[Cantidad_Auditada]]</f>
        <v>280000</v>
      </c>
      <c r="S55">
        <f>ventas_raw_200[[#This Row],[Costo_Unitario]]*ventas_raw_200[[#This Row],[Cantidad_Auditada]]</f>
        <v>192000</v>
      </c>
      <c r="T55">
        <f>ventas_raw_200[[#This Row],[Total_Venta]]-ventas_raw_200[[#This Row],[Total_Costo]]</f>
        <v>88000</v>
      </c>
      <c r="U55" s="3" cm="1">
        <f t="array" ref="U55">_xlfn.IFS(AND(G55&gt;25000,I55="Corrientes"),O55*G55*0.06,G55&gt;25000,O55*G55*0.04,TRUE,O55*G55*0.02)</f>
        <v>11200</v>
      </c>
    </row>
    <row r="56" spans="1:21" x14ac:dyDescent="0.25">
      <c r="A56" t="s">
        <v>102</v>
      </c>
      <c r="B56" s="1">
        <v>46076</v>
      </c>
      <c r="C56" t="s">
        <v>25</v>
      </c>
      <c r="D56" t="s">
        <v>20</v>
      </c>
      <c r="E56" t="s">
        <v>50</v>
      </c>
      <c r="F56">
        <v>1</v>
      </c>
      <c r="G56">
        <v>32000</v>
      </c>
      <c r="H56">
        <v>21000</v>
      </c>
      <c r="I56" t="str">
        <f>PROPER(TRIM(ventas_raw_200[[#This Row],[Sucursal]]))</f>
        <v>Formosa</v>
      </c>
      <c r="J56" t="str">
        <f>PROPER(TRIM(ventas_raw_200[[#This Row],[Vendedor]]))</f>
        <v>Ana Martinez</v>
      </c>
      <c r="K56" t="str">
        <f>PROPER(TRIM(ventas_raw_200[[#This Row],[Producto]]))</f>
        <v>Termo Acero Inoxidable 1.3L</v>
      </c>
      <c r="L56">
        <f>LEN(ventas_raw_200[[#This Row],[ID_Transaccion]])</f>
        <v>8</v>
      </c>
      <c r="M56" t="str">
        <f>TRIM(ventas_raw_200[[#This Row],[ID_Transaccion]])</f>
        <v>TRX-1055</v>
      </c>
      <c r="N56">
        <f>LEN(ventas_raw_200[[#This Row],[ID_Transaccion_Limpio]])</f>
        <v>8</v>
      </c>
      <c r="O56" s="2">
        <f>IFERROR(IF(ventas_raw_200[[#This Row],[Cantidad]]&lt;0,1,ventas_raw_200[[#This Row],[Cantidad]]),1)</f>
        <v>1</v>
      </c>
      <c r="P56" t="str">
        <f>IFERROR(_xlfn.XLOOKUP(K56,maestro_productos_15!$B$2:$B$16,maestro_productos_15!$C$2:$C$16),"No encontrada")</f>
        <v>Bazar</v>
      </c>
      <c r="Q56" t="str">
        <f>IFERROR(_xlfn.XLOOKUP(K56,maestro_productos_15!$B$2:$B$16,maestro_productos_15!$D$2:$D$16),"No encontrada")</f>
        <v>Distribuidora del Nordeste</v>
      </c>
      <c r="R56">
        <f>ventas_raw_200[[#This Row],[Precio_Unitario]]*ventas_raw_200[[#This Row],[Cantidad_Auditada]]</f>
        <v>32000</v>
      </c>
      <c r="S56">
        <f>ventas_raw_200[[#This Row],[Costo_Unitario]]*ventas_raw_200[[#This Row],[Cantidad_Auditada]]</f>
        <v>21000</v>
      </c>
      <c r="T56">
        <f>ventas_raw_200[[#This Row],[Total_Venta]]-ventas_raw_200[[#This Row],[Total_Costo]]</f>
        <v>11000</v>
      </c>
      <c r="U56" s="3" cm="1">
        <f t="array" ref="U56">_xlfn.IFS(AND(G56&gt;25000,I56="Corrientes"),O56*G56*0.06,G56&gt;25000,O56*G56*0.04,TRUE,O56*G56*0.02)</f>
        <v>1280</v>
      </c>
    </row>
    <row r="57" spans="1:21" x14ac:dyDescent="0.25">
      <c r="A57" t="s">
        <v>103</v>
      </c>
      <c r="B57" s="1">
        <v>46112</v>
      </c>
      <c r="C57" t="s">
        <v>25</v>
      </c>
      <c r="D57" t="s">
        <v>30</v>
      </c>
      <c r="E57" t="s">
        <v>36</v>
      </c>
      <c r="F57">
        <v>17</v>
      </c>
      <c r="G57">
        <v>3100</v>
      </c>
      <c r="H57">
        <v>1800</v>
      </c>
      <c r="I57" t="str">
        <f>PROPER(TRIM(ventas_raw_200[[#This Row],[Sucursal]]))</f>
        <v>Formosa</v>
      </c>
      <c r="J57" t="str">
        <f>PROPER(TRIM(ventas_raw_200[[#This Row],[Vendedor]]))</f>
        <v>Maria Gomez</v>
      </c>
      <c r="K57" t="str">
        <f>PROPER(TRIM(ventas_raw_200[[#This Row],[Producto]]))</f>
        <v>Snack Premios Perro 250G</v>
      </c>
      <c r="L57">
        <f>LEN(ventas_raw_200[[#This Row],[ID_Transaccion]])</f>
        <v>8</v>
      </c>
      <c r="M57" t="str">
        <f>TRIM(ventas_raw_200[[#This Row],[ID_Transaccion]])</f>
        <v>TRX-1056</v>
      </c>
      <c r="N57">
        <f>LEN(ventas_raw_200[[#This Row],[ID_Transaccion_Limpio]])</f>
        <v>8</v>
      </c>
      <c r="O57" s="2">
        <f>IFERROR(IF(ventas_raw_200[[#This Row],[Cantidad]]&lt;0,1,ventas_raw_200[[#This Row],[Cantidad]]),1)</f>
        <v>17</v>
      </c>
      <c r="P57" t="str">
        <f>IFERROR(_xlfn.XLOOKUP(K57,maestro_productos_15!$B$2:$B$16,maestro_productos_15!$C$2:$C$16),"No encontrada")</f>
        <v>Mascotas</v>
      </c>
      <c r="Q57" t="str">
        <f>IFERROR(_xlfn.XLOOKUP(K57,maestro_productos_15!$B$2:$B$16,maestro_productos_15!$D$2:$D$16),"No encontrada")</f>
        <v>NutriDog Arg</v>
      </c>
      <c r="R57">
        <f>ventas_raw_200[[#This Row],[Precio_Unitario]]*ventas_raw_200[[#This Row],[Cantidad_Auditada]]</f>
        <v>52700</v>
      </c>
      <c r="S57">
        <f>ventas_raw_200[[#This Row],[Costo_Unitario]]*ventas_raw_200[[#This Row],[Cantidad_Auditada]]</f>
        <v>30600</v>
      </c>
      <c r="T57">
        <f>ventas_raw_200[[#This Row],[Total_Venta]]-ventas_raw_200[[#This Row],[Total_Costo]]</f>
        <v>22100</v>
      </c>
      <c r="U57" s="3" cm="1">
        <f t="array" ref="U57">_xlfn.IFS(AND(G57&gt;25000,I57="Corrientes"),O57*G57*0.06,G57&gt;25000,O57*G57*0.04,TRUE,O57*G57*0.02)</f>
        <v>1054</v>
      </c>
    </row>
    <row r="58" spans="1:21" x14ac:dyDescent="0.25">
      <c r="A58" t="s">
        <v>104</v>
      </c>
      <c r="B58" s="1">
        <v>46024</v>
      </c>
      <c r="C58" t="s">
        <v>9</v>
      </c>
      <c r="D58" t="s">
        <v>14</v>
      </c>
      <c r="E58" t="s">
        <v>72</v>
      </c>
      <c r="F58">
        <v>9</v>
      </c>
      <c r="G58">
        <v>45000</v>
      </c>
      <c r="H58">
        <v>30000</v>
      </c>
      <c r="I58" t="str">
        <f>PROPER(TRIM(ventas_raw_200[[#This Row],[Sucursal]]))</f>
        <v>Corrientes</v>
      </c>
      <c r="J58" t="str">
        <f>PROPER(TRIM(ventas_raw_200[[#This Row],[Vendedor]]))</f>
        <v>Juan Perez</v>
      </c>
      <c r="K58" t="str">
        <f>PROPER(TRIM(ventas_raw_200[[#This Row],[Producto]]))</f>
        <v>Teclado Mecánico Rgb</v>
      </c>
      <c r="L58">
        <f>LEN(ventas_raw_200[[#This Row],[ID_Transaccion]])</f>
        <v>8</v>
      </c>
      <c r="M58" t="str">
        <f>TRIM(ventas_raw_200[[#This Row],[ID_Transaccion]])</f>
        <v>TRX-1057</v>
      </c>
      <c r="N58">
        <f>LEN(ventas_raw_200[[#This Row],[ID_Transaccion_Limpio]])</f>
        <v>8</v>
      </c>
      <c r="O58" s="2">
        <f>IFERROR(IF(ventas_raw_200[[#This Row],[Cantidad]]&lt;0,1,ventas_raw_200[[#This Row],[Cantidad]]),1)</f>
        <v>9</v>
      </c>
      <c r="P58" t="str">
        <f>IFERROR(_xlfn.XLOOKUP(K58,maestro_productos_15!$B$2:$B$16,maestro_productos_15!$C$2:$C$16),"No encontrada")</f>
        <v>Tecnología</v>
      </c>
      <c r="Q58" t="str">
        <f>IFERROR(_xlfn.XLOOKUP(K58,maestro_productos_15!$B$2:$B$16,maestro_productos_15!$D$2:$D$16),"No encontrada")</f>
        <v>TechImport S.R.L.</v>
      </c>
      <c r="R58">
        <f>ventas_raw_200[[#This Row],[Precio_Unitario]]*ventas_raw_200[[#This Row],[Cantidad_Auditada]]</f>
        <v>405000</v>
      </c>
      <c r="S58">
        <f>ventas_raw_200[[#This Row],[Costo_Unitario]]*ventas_raw_200[[#This Row],[Cantidad_Auditada]]</f>
        <v>270000</v>
      </c>
      <c r="T58">
        <f>ventas_raw_200[[#This Row],[Total_Venta]]-ventas_raw_200[[#This Row],[Total_Costo]]</f>
        <v>135000</v>
      </c>
      <c r="U58" s="3" cm="1">
        <f t="array" ref="U58">_xlfn.IFS(AND(G58&gt;25000,I58="Corrientes"),O58*G58*0.06,G58&gt;25000,O58*G58*0.04,TRUE,O58*G58*0.02)</f>
        <v>24300</v>
      </c>
    </row>
    <row r="59" spans="1:21" x14ac:dyDescent="0.25">
      <c r="A59" t="s">
        <v>105</v>
      </c>
      <c r="B59" s="1">
        <v>46064</v>
      </c>
      <c r="C59" t="s">
        <v>13</v>
      </c>
      <c r="D59" t="s">
        <v>69</v>
      </c>
      <c r="E59" t="s">
        <v>17</v>
      </c>
      <c r="F59">
        <v>11</v>
      </c>
      <c r="G59">
        <v>15000</v>
      </c>
      <c r="H59">
        <v>9500</v>
      </c>
      <c r="I59" t="str">
        <f>PROPER(TRIM(ventas_raw_200[[#This Row],[Sucursal]]))</f>
        <v>Posadas</v>
      </c>
      <c r="J59" t="str">
        <f>PROPER(TRIM(ventas_raw_200[[#This Row],[Vendedor]]))</f>
        <v>Carlos Ruiz</v>
      </c>
      <c r="K59" t="str">
        <f>PROPER(TRIM(ventas_raw_200[[#This Row],[Producto]]))</f>
        <v>Mouse Inalámbrico Ergonómico</v>
      </c>
      <c r="L59">
        <f>LEN(ventas_raw_200[[#This Row],[ID_Transaccion]])</f>
        <v>10</v>
      </c>
      <c r="M59" t="str">
        <f>TRIM(ventas_raw_200[[#This Row],[ID_Transaccion]])</f>
        <v>TRX-1058</v>
      </c>
      <c r="N59">
        <f>LEN(ventas_raw_200[[#This Row],[ID_Transaccion_Limpio]])</f>
        <v>8</v>
      </c>
      <c r="O59" s="2">
        <f>IFERROR(IF(ventas_raw_200[[#This Row],[Cantidad]]&lt;0,1,ventas_raw_200[[#This Row],[Cantidad]]),1)</f>
        <v>11</v>
      </c>
      <c r="P59" t="str">
        <f>IFERROR(_xlfn.XLOOKUP(K59,maestro_productos_15!$B$2:$B$16,maestro_productos_15!$C$2:$C$16),"No encontrada")</f>
        <v>Tecnología</v>
      </c>
      <c r="Q59" t="str">
        <f>IFERROR(_xlfn.XLOOKUP(K59,maestro_productos_15!$B$2:$B$16,maestro_productos_15!$D$2:$D$16),"No encontrada")</f>
        <v>TechImport S.R.L.</v>
      </c>
      <c r="R59">
        <f>ventas_raw_200[[#This Row],[Precio_Unitario]]*ventas_raw_200[[#This Row],[Cantidad_Auditada]]</f>
        <v>165000</v>
      </c>
      <c r="S59">
        <f>ventas_raw_200[[#This Row],[Costo_Unitario]]*ventas_raw_200[[#This Row],[Cantidad_Auditada]]</f>
        <v>104500</v>
      </c>
      <c r="T59">
        <f>ventas_raw_200[[#This Row],[Total_Venta]]-ventas_raw_200[[#This Row],[Total_Costo]]</f>
        <v>60500</v>
      </c>
      <c r="U59" s="3" cm="1">
        <f t="array" ref="U59">_xlfn.IFS(AND(G59&gt;25000,I59="Corrientes"),O59*G59*0.06,G59&gt;25000,O59*G59*0.04,TRUE,O59*G59*0.02)</f>
        <v>3300</v>
      </c>
    </row>
    <row r="60" spans="1:21" x14ac:dyDescent="0.25">
      <c r="A60" t="s">
        <v>106</v>
      </c>
      <c r="B60" s="1">
        <v>46112</v>
      </c>
      <c r="C60" t="s">
        <v>13</v>
      </c>
      <c r="D60" t="s">
        <v>33</v>
      </c>
      <c r="E60" t="s">
        <v>74</v>
      </c>
      <c r="F60">
        <v>23</v>
      </c>
      <c r="G60">
        <v>28000</v>
      </c>
      <c r="H60">
        <v>18000</v>
      </c>
      <c r="I60" t="str">
        <f>PROPER(TRIM(ventas_raw_200[[#This Row],[Sucursal]]))</f>
        <v>Posadas</v>
      </c>
      <c r="J60" t="str">
        <f>PROPER(TRIM(ventas_raw_200[[#This Row],[Vendedor]]))</f>
        <v>Juan Perez</v>
      </c>
      <c r="K60" t="str">
        <f>PROPER(TRIM(ventas_raw_200[[#This Row],[Producto]]))</f>
        <v>Auriculares Bluetooth Pro</v>
      </c>
      <c r="L60">
        <f>LEN(ventas_raw_200[[#This Row],[ID_Transaccion]])</f>
        <v>8</v>
      </c>
      <c r="M60" t="str">
        <f>TRIM(ventas_raw_200[[#This Row],[ID_Transaccion]])</f>
        <v>TRX-1059</v>
      </c>
      <c r="N60">
        <f>LEN(ventas_raw_200[[#This Row],[ID_Transaccion_Limpio]])</f>
        <v>8</v>
      </c>
      <c r="O60" s="2">
        <f>IFERROR(IF(ventas_raw_200[[#This Row],[Cantidad]]&lt;0,1,ventas_raw_200[[#This Row],[Cantidad]]),1)</f>
        <v>23</v>
      </c>
      <c r="P60" t="str">
        <f>IFERROR(_xlfn.XLOOKUP(K60,maestro_productos_15!$B$2:$B$16,maestro_productos_15!$C$2:$C$16),"No encontrada")</f>
        <v>Tecnología</v>
      </c>
      <c r="Q60" t="str">
        <f>IFERROR(_xlfn.XLOOKUP(K60,maestro_productos_15!$B$2:$B$16,maestro_productos_15!$D$2:$D$16),"No encontrada")</f>
        <v>TechImport S.R.L.</v>
      </c>
      <c r="R60">
        <f>ventas_raw_200[[#This Row],[Precio_Unitario]]*ventas_raw_200[[#This Row],[Cantidad_Auditada]]</f>
        <v>644000</v>
      </c>
      <c r="S60">
        <f>ventas_raw_200[[#This Row],[Costo_Unitario]]*ventas_raw_200[[#This Row],[Cantidad_Auditada]]</f>
        <v>414000</v>
      </c>
      <c r="T60">
        <f>ventas_raw_200[[#This Row],[Total_Venta]]-ventas_raw_200[[#This Row],[Total_Costo]]</f>
        <v>230000</v>
      </c>
      <c r="U60" s="3" cm="1">
        <f t="array" ref="U60">_xlfn.IFS(AND(G60&gt;25000,I60="Corrientes"),O60*G60*0.06,G60&gt;25000,O60*G60*0.04,TRUE,O60*G60*0.02)</f>
        <v>25760</v>
      </c>
    </row>
    <row r="61" spans="1:21" x14ac:dyDescent="0.25">
      <c r="A61" t="s">
        <v>107</v>
      </c>
      <c r="B61" s="1">
        <v>46109</v>
      </c>
      <c r="C61" t="s">
        <v>38</v>
      </c>
      <c r="D61" t="s">
        <v>10</v>
      </c>
      <c r="E61" t="s">
        <v>21</v>
      </c>
      <c r="F61">
        <v>12</v>
      </c>
      <c r="G61">
        <v>3800</v>
      </c>
      <c r="H61">
        <v>2500</v>
      </c>
      <c r="I61" t="str">
        <f>PROPER(TRIM(ventas_raw_200[[#This Row],[Sucursal]]))</f>
        <v>Posadas</v>
      </c>
      <c r="J61" t="str">
        <f>PROPER(TRIM(ventas_raw_200[[#This Row],[Vendedor]]))</f>
        <v>Ana Martinez</v>
      </c>
      <c r="K61" t="str">
        <f>PROPER(TRIM(ventas_raw_200[[#This Row],[Producto]]))</f>
        <v>Yerba Mate Premium 1Kg</v>
      </c>
      <c r="L61">
        <f>LEN(ventas_raw_200[[#This Row],[ID_Transaccion]])</f>
        <v>8</v>
      </c>
      <c r="M61" t="str">
        <f>TRIM(ventas_raw_200[[#This Row],[ID_Transaccion]])</f>
        <v>TRX-1060</v>
      </c>
      <c r="N61">
        <f>LEN(ventas_raw_200[[#This Row],[ID_Transaccion_Limpio]])</f>
        <v>8</v>
      </c>
      <c r="O61" s="2">
        <f>IFERROR(IF(ventas_raw_200[[#This Row],[Cantidad]]&lt;0,1,ventas_raw_200[[#This Row],[Cantidad]]),1)</f>
        <v>12</v>
      </c>
      <c r="P61" t="str">
        <f>IFERROR(_xlfn.XLOOKUP(K61,maestro_productos_15!$B$2:$B$16,maestro_productos_15!$C$2:$C$16),"No encontrada")</f>
        <v>Alimentos</v>
      </c>
      <c r="Q61" t="str">
        <f>IFERROR(_xlfn.XLOOKUP(K61,maestro_productos_15!$B$2:$B$16,maestro_productos_15!$D$2:$D$16),"No encontrada")</f>
        <v>Cooperativa Neike</v>
      </c>
      <c r="R61">
        <f>ventas_raw_200[[#This Row],[Precio_Unitario]]*ventas_raw_200[[#This Row],[Cantidad_Auditada]]</f>
        <v>45600</v>
      </c>
      <c r="S61">
        <f>ventas_raw_200[[#This Row],[Costo_Unitario]]*ventas_raw_200[[#This Row],[Cantidad_Auditada]]</f>
        <v>30000</v>
      </c>
      <c r="T61">
        <f>ventas_raw_200[[#This Row],[Total_Venta]]-ventas_raw_200[[#This Row],[Total_Costo]]</f>
        <v>15600</v>
      </c>
      <c r="U61" s="3" cm="1">
        <f t="array" ref="U61">_xlfn.IFS(AND(G61&gt;25000,I61="Corrientes"),O61*G61*0.06,G61&gt;25000,O61*G61*0.04,TRUE,O61*G61*0.02)</f>
        <v>912</v>
      </c>
    </row>
    <row r="62" spans="1:21" x14ac:dyDescent="0.25">
      <c r="A62" t="s">
        <v>108</v>
      </c>
      <c r="B62" s="1">
        <v>46100</v>
      </c>
      <c r="C62" t="s">
        <v>38</v>
      </c>
      <c r="D62" t="s">
        <v>20</v>
      </c>
      <c r="E62" t="s">
        <v>109</v>
      </c>
      <c r="F62">
        <v>10</v>
      </c>
      <c r="G62">
        <v>9200</v>
      </c>
      <c r="H62">
        <v>5500</v>
      </c>
      <c r="I62" t="str">
        <f>PROPER(TRIM(ventas_raw_200[[#This Row],[Sucursal]]))</f>
        <v>Posadas</v>
      </c>
      <c r="J62" t="str">
        <f>PROPER(TRIM(ventas_raw_200[[#This Row],[Vendedor]]))</f>
        <v>Ana Martinez</v>
      </c>
      <c r="K62" t="str">
        <f>PROPER(TRIM(ventas_raw_200[[#This Row],[Producto]]))</f>
        <v>Correa Reforzada Canina 3M</v>
      </c>
      <c r="L62">
        <f>LEN(ventas_raw_200[[#This Row],[ID_Transaccion]])</f>
        <v>8</v>
      </c>
      <c r="M62" t="str">
        <f>TRIM(ventas_raw_200[[#This Row],[ID_Transaccion]])</f>
        <v>TRX-1061</v>
      </c>
      <c r="N62">
        <f>LEN(ventas_raw_200[[#This Row],[ID_Transaccion_Limpio]])</f>
        <v>8</v>
      </c>
      <c r="O62" s="2">
        <f>IFERROR(IF(ventas_raw_200[[#This Row],[Cantidad]]&lt;0,1,ventas_raw_200[[#This Row],[Cantidad]]),1)</f>
        <v>10</v>
      </c>
      <c r="P62" t="str">
        <f>IFERROR(_xlfn.XLOOKUP(K62,maestro_productos_15!$B$2:$B$16,maestro_productos_15!$C$2:$C$16),"No encontrada")</f>
        <v>Mascotas</v>
      </c>
      <c r="Q62" t="str">
        <f>IFERROR(_xlfn.XLOOKUP(K62,maestro_productos_15!$B$2:$B$16,maestro_productos_15!$D$2:$D$16),"No encontrada")</f>
        <v>PetStyle Litoral</v>
      </c>
      <c r="R62">
        <f>ventas_raw_200[[#This Row],[Precio_Unitario]]*ventas_raw_200[[#This Row],[Cantidad_Auditada]]</f>
        <v>92000</v>
      </c>
      <c r="S62">
        <f>ventas_raw_200[[#This Row],[Costo_Unitario]]*ventas_raw_200[[#This Row],[Cantidad_Auditada]]</f>
        <v>55000</v>
      </c>
      <c r="T62">
        <f>ventas_raw_200[[#This Row],[Total_Venta]]-ventas_raw_200[[#This Row],[Total_Costo]]</f>
        <v>37000</v>
      </c>
      <c r="U62" s="3" cm="1">
        <f t="array" ref="U62">_xlfn.IFS(AND(G62&gt;25000,I62="Corrientes"),O62*G62*0.06,G62&gt;25000,O62*G62*0.04,TRUE,O62*G62*0.02)</f>
        <v>1840</v>
      </c>
    </row>
    <row r="63" spans="1:21" x14ac:dyDescent="0.25">
      <c r="A63" t="s">
        <v>110</v>
      </c>
      <c r="B63" s="1">
        <v>46081</v>
      </c>
      <c r="C63" t="s">
        <v>19</v>
      </c>
      <c r="D63" t="s">
        <v>49</v>
      </c>
      <c r="E63" t="s">
        <v>17</v>
      </c>
      <c r="F63">
        <v>14</v>
      </c>
      <c r="G63">
        <v>15000</v>
      </c>
      <c r="H63">
        <v>9500</v>
      </c>
      <c r="I63" t="str">
        <f>PROPER(TRIM(ventas_raw_200[[#This Row],[Sucursal]]))</f>
        <v>Resistencia</v>
      </c>
      <c r="J63" t="str">
        <f>PROPER(TRIM(ventas_raw_200[[#This Row],[Vendedor]]))</f>
        <v>Carlos Ruiz</v>
      </c>
      <c r="K63" t="str">
        <f>PROPER(TRIM(ventas_raw_200[[#This Row],[Producto]]))</f>
        <v>Mouse Inalámbrico Ergonómico</v>
      </c>
      <c r="L63">
        <f>LEN(ventas_raw_200[[#This Row],[ID_Transaccion]])</f>
        <v>8</v>
      </c>
      <c r="M63" t="str">
        <f>TRIM(ventas_raw_200[[#This Row],[ID_Transaccion]])</f>
        <v>TRX-1062</v>
      </c>
      <c r="N63">
        <f>LEN(ventas_raw_200[[#This Row],[ID_Transaccion_Limpio]])</f>
        <v>8</v>
      </c>
      <c r="O63" s="2">
        <f>IFERROR(IF(ventas_raw_200[[#This Row],[Cantidad]]&lt;0,1,ventas_raw_200[[#This Row],[Cantidad]]),1)</f>
        <v>14</v>
      </c>
      <c r="P63" t="str">
        <f>IFERROR(_xlfn.XLOOKUP(K63,maestro_productos_15!$B$2:$B$16,maestro_productos_15!$C$2:$C$16),"No encontrada")</f>
        <v>Tecnología</v>
      </c>
      <c r="Q63" t="str">
        <f>IFERROR(_xlfn.XLOOKUP(K63,maestro_productos_15!$B$2:$B$16,maestro_productos_15!$D$2:$D$16),"No encontrada")</f>
        <v>TechImport S.R.L.</v>
      </c>
      <c r="R63">
        <f>ventas_raw_200[[#This Row],[Precio_Unitario]]*ventas_raw_200[[#This Row],[Cantidad_Auditada]]</f>
        <v>210000</v>
      </c>
      <c r="S63">
        <f>ventas_raw_200[[#This Row],[Costo_Unitario]]*ventas_raw_200[[#This Row],[Cantidad_Auditada]]</f>
        <v>133000</v>
      </c>
      <c r="T63">
        <f>ventas_raw_200[[#This Row],[Total_Venta]]-ventas_raw_200[[#This Row],[Total_Costo]]</f>
        <v>77000</v>
      </c>
      <c r="U63" s="3" cm="1">
        <f t="array" ref="U63">_xlfn.IFS(AND(G63&gt;25000,I63="Corrientes"),O63*G63*0.06,G63&gt;25000,O63*G63*0.04,TRUE,O63*G63*0.02)</f>
        <v>4200</v>
      </c>
    </row>
    <row r="64" spans="1:21" x14ac:dyDescent="0.25">
      <c r="A64" t="s">
        <v>111</v>
      </c>
      <c r="B64" s="1">
        <v>46075</v>
      </c>
      <c r="C64" t="s">
        <v>13</v>
      </c>
      <c r="D64" t="s">
        <v>49</v>
      </c>
      <c r="E64" t="s">
        <v>72</v>
      </c>
      <c r="F64">
        <v>18</v>
      </c>
      <c r="G64">
        <v>45000</v>
      </c>
      <c r="H64">
        <v>30000</v>
      </c>
      <c r="I64" t="str">
        <f>PROPER(TRIM(ventas_raw_200[[#This Row],[Sucursal]]))</f>
        <v>Posadas</v>
      </c>
      <c r="J64" t="str">
        <f>PROPER(TRIM(ventas_raw_200[[#This Row],[Vendedor]]))</f>
        <v>Carlos Ruiz</v>
      </c>
      <c r="K64" t="str">
        <f>PROPER(TRIM(ventas_raw_200[[#This Row],[Producto]]))</f>
        <v>Teclado Mecánico Rgb</v>
      </c>
      <c r="L64">
        <f>LEN(ventas_raw_200[[#This Row],[ID_Transaccion]])</f>
        <v>8</v>
      </c>
      <c r="M64" t="str">
        <f>TRIM(ventas_raw_200[[#This Row],[ID_Transaccion]])</f>
        <v>TRX-1063</v>
      </c>
      <c r="N64">
        <f>LEN(ventas_raw_200[[#This Row],[ID_Transaccion_Limpio]])</f>
        <v>8</v>
      </c>
      <c r="O64" s="2">
        <f>IFERROR(IF(ventas_raw_200[[#This Row],[Cantidad]]&lt;0,1,ventas_raw_200[[#This Row],[Cantidad]]),1)</f>
        <v>18</v>
      </c>
      <c r="P64" t="str">
        <f>IFERROR(_xlfn.XLOOKUP(K64,maestro_productos_15!$B$2:$B$16,maestro_productos_15!$C$2:$C$16),"No encontrada")</f>
        <v>Tecnología</v>
      </c>
      <c r="Q64" t="str">
        <f>IFERROR(_xlfn.XLOOKUP(K64,maestro_productos_15!$B$2:$B$16,maestro_productos_15!$D$2:$D$16),"No encontrada")</f>
        <v>TechImport S.R.L.</v>
      </c>
      <c r="R64">
        <f>ventas_raw_200[[#This Row],[Precio_Unitario]]*ventas_raw_200[[#This Row],[Cantidad_Auditada]]</f>
        <v>810000</v>
      </c>
      <c r="S64">
        <f>ventas_raw_200[[#This Row],[Costo_Unitario]]*ventas_raw_200[[#This Row],[Cantidad_Auditada]]</f>
        <v>540000</v>
      </c>
      <c r="T64">
        <f>ventas_raw_200[[#This Row],[Total_Venta]]-ventas_raw_200[[#This Row],[Total_Costo]]</f>
        <v>270000</v>
      </c>
      <c r="U64" s="3" cm="1">
        <f t="array" ref="U64">_xlfn.IFS(AND(G64&gt;25000,I64="Corrientes"),O64*G64*0.06,G64&gt;25000,O64*G64*0.04,TRUE,O64*G64*0.02)</f>
        <v>32400</v>
      </c>
    </row>
    <row r="65" spans="1:21" x14ac:dyDescent="0.25">
      <c r="A65" t="s">
        <v>112</v>
      </c>
      <c r="B65" s="1">
        <v>46057</v>
      </c>
      <c r="C65" t="s">
        <v>13</v>
      </c>
      <c r="D65" t="s">
        <v>49</v>
      </c>
      <c r="E65" t="s">
        <v>64</v>
      </c>
      <c r="F65">
        <v>15</v>
      </c>
      <c r="G65">
        <v>18500</v>
      </c>
      <c r="H65">
        <v>12500</v>
      </c>
      <c r="I65" t="str">
        <f>PROPER(TRIM(ventas_raw_200[[#This Row],[Sucursal]]))</f>
        <v>Posadas</v>
      </c>
      <c r="J65" t="str">
        <f>PROPER(TRIM(ventas_raw_200[[#This Row],[Vendedor]]))</f>
        <v>Carlos Ruiz</v>
      </c>
      <c r="K65" t="str">
        <f>PROPER(TRIM(ventas_raw_200[[#This Row],[Producto]]))</f>
        <v>Café En Grano Intenso 1Kg</v>
      </c>
      <c r="L65">
        <f>LEN(ventas_raw_200[[#This Row],[ID_Transaccion]])</f>
        <v>8</v>
      </c>
      <c r="M65" t="str">
        <f>TRIM(ventas_raw_200[[#This Row],[ID_Transaccion]])</f>
        <v>TRX-1064</v>
      </c>
      <c r="N65">
        <f>LEN(ventas_raw_200[[#This Row],[ID_Transaccion_Limpio]])</f>
        <v>8</v>
      </c>
      <c r="O65" s="2">
        <f>IFERROR(IF(ventas_raw_200[[#This Row],[Cantidad]]&lt;0,1,ventas_raw_200[[#This Row],[Cantidad]]),1)</f>
        <v>15</v>
      </c>
      <c r="P65" t="str">
        <f>IFERROR(_xlfn.XLOOKUP(K65,maestro_productos_15!$B$2:$B$16,maestro_productos_15!$C$2:$C$16),"No encontrada")</f>
        <v>Alimentos</v>
      </c>
      <c r="Q65" t="str">
        <f>IFERROR(_xlfn.XLOOKUP(K65,maestro_productos_15!$B$2:$B$16,maestro_productos_15!$D$2:$D$16),"No encontrada")</f>
        <v>Distribuidora del Nordeste</v>
      </c>
      <c r="R65">
        <f>ventas_raw_200[[#This Row],[Precio_Unitario]]*ventas_raw_200[[#This Row],[Cantidad_Auditada]]</f>
        <v>277500</v>
      </c>
      <c r="S65">
        <f>ventas_raw_200[[#This Row],[Costo_Unitario]]*ventas_raw_200[[#This Row],[Cantidad_Auditada]]</f>
        <v>187500</v>
      </c>
      <c r="T65">
        <f>ventas_raw_200[[#This Row],[Total_Venta]]-ventas_raw_200[[#This Row],[Total_Costo]]</f>
        <v>90000</v>
      </c>
      <c r="U65" s="3" cm="1">
        <f t="array" ref="U65">_xlfn.IFS(AND(G65&gt;25000,I65="Corrientes"),O65*G65*0.06,G65&gt;25000,O65*G65*0.04,TRUE,O65*G65*0.02)</f>
        <v>5550</v>
      </c>
    </row>
    <row r="66" spans="1:21" x14ac:dyDescent="0.25">
      <c r="A66" t="s">
        <v>113</v>
      </c>
      <c r="B66" s="1">
        <v>46081</v>
      </c>
      <c r="C66" t="s">
        <v>25</v>
      </c>
      <c r="D66" t="s">
        <v>10</v>
      </c>
      <c r="E66" t="s">
        <v>50</v>
      </c>
      <c r="F66">
        <v>3</v>
      </c>
      <c r="G66">
        <v>32000</v>
      </c>
      <c r="H66">
        <v>21000</v>
      </c>
      <c r="I66" t="str">
        <f>PROPER(TRIM(ventas_raw_200[[#This Row],[Sucursal]]))</f>
        <v>Formosa</v>
      </c>
      <c r="J66" t="str">
        <f>PROPER(TRIM(ventas_raw_200[[#This Row],[Vendedor]]))</f>
        <v>Ana Martinez</v>
      </c>
      <c r="K66" t="str">
        <f>PROPER(TRIM(ventas_raw_200[[#This Row],[Producto]]))</f>
        <v>Termo Acero Inoxidable 1.3L</v>
      </c>
      <c r="L66">
        <f>LEN(ventas_raw_200[[#This Row],[ID_Transaccion]])</f>
        <v>8</v>
      </c>
      <c r="M66" t="str">
        <f>TRIM(ventas_raw_200[[#This Row],[ID_Transaccion]])</f>
        <v>TRX-1065</v>
      </c>
      <c r="N66">
        <f>LEN(ventas_raw_200[[#This Row],[ID_Transaccion_Limpio]])</f>
        <v>8</v>
      </c>
      <c r="O66" s="2">
        <f>IFERROR(IF(ventas_raw_200[[#This Row],[Cantidad]]&lt;0,1,ventas_raw_200[[#This Row],[Cantidad]]),1)</f>
        <v>3</v>
      </c>
      <c r="P66" t="str">
        <f>IFERROR(_xlfn.XLOOKUP(K66,maestro_productos_15!$B$2:$B$16,maestro_productos_15!$C$2:$C$16),"No encontrada")</f>
        <v>Bazar</v>
      </c>
      <c r="Q66" t="str">
        <f>IFERROR(_xlfn.XLOOKUP(K66,maestro_productos_15!$B$2:$B$16,maestro_productos_15!$D$2:$D$16),"No encontrada")</f>
        <v>Distribuidora del Nordeste</v>
      </c>
      <c r="R66">
        <f>ventas_raw_200[[#This Row],[Precio_Unitario]]*ventas_raw_200[[#This Row],[Cantidad_Auditada]]</f>
        <v>96000</v>
      </c>
      <c r="S66">
        <f>ventas_raw_200[[#This Row],[Costo_Unitario]]*ventas_raw_200[[#This Row],[Cantidad_Auditada]]</f>
        <v>63000</v>
      </c>
      <c r="T66">
        <f>ventas_raw_200[[#This Row],[Total_Venta]]-ventas_raw_200[[#This Row],[Total_Costo]]</f>
        <v>33000</v>
      </c>
      <c r="U66" s="3" cm="1">
        <f t="array" ref="U66">_xlfn.IFS(AND(G66&gt;25000,I66="Corrientes"),O66*G66*0.06,G66&gt;25000,O66*G66*0.04,TRUE,O66*G66*0.02)</f>
        <v>3840</v>
      </c>
    </row>
    <row r="67" spans="1:21" x14ac:dyDescent="0.25">
      <c r="A67" t="s">
        <v>114</v>
      </c>
      <c r="B67" s="1">
        <v>46109</v>
      </c>
      <c r="C67" t="s">
        <v>25</v>
      </c>
      <c r="D67" t="s">
        <v>20</v>
      </c>
      <c r="E67" t="s">
        <v>43</v>
      </c>
      <c r="F67">
        <v>10</v>
      </c>
      <c r="G67">
        <v>6200</v>
      </c>
      <c r="H67">
        <v>3800</v>
      </c>
      <c r="I67" t="str">
        <f>PROPER(TRIM(ventas_raw_200[[#This Row],[Sucursal]]))</f>
        <v>Formosa</v>
      </c>
      <c r="J67" t="str">
        <f>PROPER(TRIM(ventas_raw_200[[#This Row],[Vendedor]]))</f>
        <v>Ana Martinez</v>
      </c>
      <c r="K67" t="str">
        <f>PROPER(TRIM(ventas_raw_200[[#This Row],[Producto]]))</f>
        <v>Shampoo Canino Neutro 500Ml</v>
      </c>
      <c r="L67">
        <f>LEN(ventas_raw_200[[#This Row],[ID_Transaccion]])</f>
        <v>8</v>
      </c>
      <c r="M67" t="str">
        <f>TRIM(ventas_raw_200[[#This Row],[ID_Transaccion]])</f>
        <v>TRX-1066</v>
      </c>
      <c r="N67">
        <f>LEN(ventas_raw_200[[#This Row],[ID_Transaccion_Limpio]])</f>
        <v>8</v>
      </c>
      <c r="O67" s="2">
        <f>IFERROR(IF(ventas_raw_200[[#This Row],[Cantidad]]&lt;0,1,ventas_raw_200[[#This Row],[Cantidad]]),1)</f>
        <v>10</v>
      </c>
      <c r="P67" t="str">
        <f>IFERROR(_xlfn.XLOOKUP(K67,maestro_productos_15!$B$2:$B$16,maestro_productos_15!$C$2:$C$16),"No encontrada")</f>
        <v>Mascotas</v>
      </c>
      <c r="Q67" t="str">
        <f>IFERROR(_xlfn.XLOOKUP(K67,maestro_productos_15!$B$2:$B$16,maestro_productos_15!$D$2:$D$16),"No encontrada")</f>
        <v>PetStyle Litoral</v>
      </c>
      <c r="R67">
        <f>ventas_raw_200[[#This Row],[Precio_Unitario]]*ventas_raw_200[[#This Row],[Cantidad_Auditada]]</f>
        <v>62000</v>
      </c>
      <c r="S67">
        <f>ventas_raw_200[[#This Row],[Costo_Unitario]]*ventas_raw_200[[#This Row],[Cantidad_Auditada]]</f>
        <v>38000</v>
      </c>
      <c r="T67">
        <f>ventas_raw_200[[#This Row],[Total_Venta]]-ventas_raw_200[[#This Row],[Total_Costo]]</f>
        <v>24000</v>
      </c>
      <c r="U67" s="3" cm="1">
        <f t="array" ref="U67">_xlfn.IFS(AND(G67&gt;25000,I67="Corrientes"),O67*G67*0.06,G67&gt;25000,O67*G67*0.04,TRUE,O67*G67*0.02)</f>
        <v>1240</v>
      </c>
    </row>
    <row r="68" spans="1:21" x14ac:dyDescent="0.25">
      <c r="A68" t="s">
        <v>115</v>
      </c>
      <c r="B68" s="1">
        <v>46085</v>
      </c>
      <c r="C68" t="s">
        <v>56</v>
      </c>
      <c r="D68" t="s">
        <v>49</v>
      </c>
      <c r="E68" t="s">
        <v>62</v>
      </c>
      <c r="F68">
        <v>3</v>
      </c>
      <c r="G68">
        <v>19500</v>
      </c>
      <c r="H68">
        <v>12000</v>
      </c>
      <c r="I68" t="str">
        <f>PROPER(TRIM(ventas_raw_200[[#This Row],[Sucursal]]))</f>
        <v>Resistencia</v>
      </c>
      <c r="J68" t="str">
        <f>PROPER(TRIM(ventas_raw_200[[#This Row],[Vendedor]]))</f>
        <v>Carlos Ruiz</v>
      </c>
      <c r="K68" t="str">
        <f>PROPER(TRIM(ventas_raw_200[[#This Row],[Producto]]))</f>
        <v>Soporte Regulable Notebook</v>
      </c>
      <c r="L68">
        <f>LEN(ventas_raw_200[[#This Row],[ID_Transaccion]])</f>
        <v>10</v>
      </c>
      <c r="M68" t="str">
        <f>TRIM(ventas_raw_200[[#This Row],[ID_Transaccion]])</f>
        <v>TRX-1067</v>
      </c>
      <c r="N68">
        <f>LEN(ventas_raw_200[[#This Row],[ID_Transaccion_Limpio]])</f>
        <v>8</v>
      </c>
      <c r="O68" s="2">
        <f>IFERROR(IF(ventas_raw_200[[#This Row],[Cantidad]]&lt;0,1,ventas_raw_200[[#This Row],[Cantidad]]),1)</f>
        <v>3</v>
      </c>
      <c r="P68" t="str">
        <f>IFERROR(_xlfn.XLOOKUP(K68,maestro_productos_15!$B$2:$B$16,maestro_productos_15!$C$2:$C$16),"No encontrada")</f>
        <v>Tecnología</v>
      </c>
      <c r="Q68" t="str">
        <f>IFERROR(_xlfn.XLOOKUP(K68,maestro_productos_15!$B$2:$B$16,maestro_productos_15!$D$2:$D$16),"No encontrada")</f>
        <v>TechImport S.R.L.</v>
      </c>
      <c r="R68">
        <f>ventas_raw_200[[#This Row],[Precio_Unitario]]*ventas_raw_200[[#This Row],[Cantidad_Auditada]]</f>
        <v>58500</v>
      </c>
      <c r="S68">
        <f>ventas_raw_200[[#This Row],[Costo_Unitario]]*ventas_raw_200[[#This Row],[Cantidad_Auditada]]</f>
        <v>36000</v>
      </c>
      <c r="T68">
        <f>ventas_raw_200[[#This Row],[Total_Venta]]-ventas_raw_200[[#This Row],[Total_Costo]]</f>
        <v>22500</v>
      </c>
      <c r="U68" s="3" cm="1">
        <f t="array" ref="U68">_xlfn.IFS(AND(G68&gt;25000,I68="Corrientes"),O68*G68*0.06,G68&gt;25000,O68*G68*0.04,TRUE,O68*G68*0.02)</f>
        <v>1170</v>
      </c>
    </row>
    <row r="69" spans="1:21" x14ac:dyDescent="0.25">
      <c r="A69" t="s">
        <v>116</v>
      </c>
      <c r="B69" s="1">
        <v>46023</v>
      </c>
      <c r="C69" t="s">
        <v>38</v>
      </c>
      <c r="D69" t="s">
        <v>69</v>
      </c>
      <c r="E69" t="s">
        <v>88</v>
      </c>
      <c r="F69">
        <v>8</v>
      </c>
      <c r="G69">
        <v>6200</v>
      </c>
      <c r="H69">
        <v>3800</v>
      </c>
      <c r="I69" t="str">
        <f>PROPER(TRIM(ventas_raw_200[[#This Row],[Sucursal]]))</f>
        <v>Posadas</v>
      </c>
      <c r="J69" t="str">
        <f>PROPER(TRIM(ventas_raw_200[[#This Row],[Vendedor]]))</f>
        <v>Carlos Ruiz</v>
      </c>
      <c r="K69" t="str">
        <f>PROPER(TRIM(ventas_raw_200[[#This Row],[Producto]]))</f>
        <v>Shampoo Canino Neutro 500Ml</v>
      </c>
      <c r="L69">
        <f>LEN(ventas_raw_200[[#This Row],[ID_Transaccion]])</f>
        <v>8</v>
      </c>
      <c r="M69" t="str">
        <f>TRIM(ventas_raw_200[[#This Row],[ID_Transaccion]])</f>
        <v>TRX-1068</v>
      </c>
      <c r="N69">
        <f>LEN(ventas_raw_200[[#This Row],[ID_Transaccion_Limpio]])</f>
        <v>8</v>
      </c>
      <c r="O69" s="2">
        <f>IFERROR(IF(ventas_raw_200[[#This Row],[Cantidad]]&lt;0,1,ventas_raw_200[[#This Row],[Cantidad]]),1)</f>
        <v>8</v>
      </c>
      <c r="P69" t="str">
        <f>IFERROR(_xlfn.XLOOKUP(K69,maestro_productos_15!$B$2:$B$16,maestro_productos_15!$C$2:$C$16),"No encontrada")</f>
        <v>Mascotas</v>
      </c>
      <c r="Q69" t="str">
        <f>IFERROR(_xlfn.XLOOKUP(K69,maestro_productos_15!$B$2:$B$16,maestro_productos_15!$D$2:$D$16),"No encontrada")</f>
        <v>PetStyle Litoral</v>
      </c>
      <c r="R69">
        <f>ventas_raw_200[[#This Row],[Precio_Unitario]]*ventas_raw_200[[#This Row],[Cantidad_Auditada]]</f>
        <v>49600</v>
      </c>
      <c r="S69">
        <f>ventas_raw_200[[#This Row],[Costo_Unitario]]*ventas_raw_200[[#This Row],[Cantidad_Auditada]]</f>
        <v>30400</v>
      </c>
      <c r="T69">
        <f>ventas_raw_200[[#This Row],[Total_Venta]]-ventas_raw_200[[#This Row],[Total_Costo]]</f>
        <v>19200</v>
      </c>
      <c r="U69" s="3" cm="1">
        <f t="array" ref="U69">_xlfn.IFS(AND(G69&gt;25000,I69="Corrientes"),O69*G69*0.06,G69&gt;25000,O69*G69*0.04,TRUE,O69*G69*0.02)</f>
        <v>992</v>
      </c>
    </row>
    <row r="70" spans="1:21" x14ac:dyDescent="0.25">
      <c r="A70" t="s">
        <v>117</v>
      </c>
      <c r="B70" s="1">
        <v>46084</v>
      </c>
      <c r="C70" t="s">
        <v>25</v>
      </c>
      <c r="D70" t="s">
        <v>20</v>
      </c>
      <c r="E70" t="s">
        <v>17</v>
      </c>
      <c r="F70">
        <v>4</v>
      </c>
      <c r="G70">
        <v>15000</v>
      </c>
      <c r="H70">
        <v>9500</v>
      </c>
      <c r="I70" t="str">
        <f>PROPER(TRIM(ventas_raw_200[[#This Row],[Sucursal]]))</f>
        <v>Formosa</v>
      </c>
      <c r="J70" t="str">
        <f>PROPER(TRIM(ventas_raw_200[[#This Row],[Vendedor]]))</f>
        <v>Ana Martinez</v>
      </c>
      <c r="K70" t="str">
        <f>PROPER(TRIM(ventas_raw_200[[#This Row],[Producto]]))</f>
        <v>Mouse Inalámbrico Ergonómico</v>
      </c>
      <c r="L70">
        <f>LEN(ventas_raw_200[[#This Row],[ID_Transaccion]])</f>
        <v>10</v>
      </c>
      <c r="M70" t="str">
        <f>TRIM(ventas_raw_200[[#This Row],[ID_Transaccion]])</f>
        <v>TRX-1069</v>
      </c>
      <c r="N70">
        <f>LEN(ventas_raw_200[[#This Row],[ID_Transaccion_Limpio]])</f>
        <v>8</v>
      </c>
      <c r="O70" s="2">
        <f>IFERROR(IF(ventas_raw_200[[#This Row],[Cantidad]]&lt;0,1,ventas_raw_200[[#This Row],[Cantidad]]),1)</f>
        <v>4</v>
      </c>
      <c r="P70" t="str">
        <f>IFERROR(_xlfn.XLOOKUP(K70,maestro_productos_15!$B$2:$B$16,maestro_productos_15!$C$2:$C$16),"No encontrada")</f>
        <v>Tecnología</v>
      </c>
      <c r="Q70" t="str">
        <f>IFERROR(_xlfn.XLOOKUP(K70,maestro_productos_15!$B$2:$B$16,maestro_productos_15!$D$2:$D$16),"No encontrada")</f>
        <v>TechImport S.R.L.</v>
      </c>
      <c r="R70">
        <f>ventas_raw_200[[#This Row],[Precio_Unitario]]*ventas_raw_200[[#This Row],[Cantidad_Auditada]]</f>
        <v>60000</v>
      </c>
      <c r="S70">
        <f>ventas_raw_200[[#This Row],[Costo_Unitario]]*ventas_raw_200[[#This Row],[Cantidad_Auditada]]</f>
        <v>38000</v>
      </c>
      <c r="T70">
        <f>ventas_raw_200[[#This Row],[Total_Venta]]-ventas_raw_200[[#This Row],[Total_Costo]]</f>
        <v>22000</v>
      </c>
      <c r="U70" s="3" cm="1">
        <f t="array" ref="U70">_xlfn.IFS(AND(G70&gt;25000,I70="Corrientes"),O70*G70*0.06,G70&gt;25000,O70*G70*0.04,TRUE,O70*G70*0.02)</f>
        <v>1200</v>
      </c>
    </row>
    <row r="71" spans="1:21" x14ac:dyDescent="0.25">
      <c r="A71" t="s">
        <v>118</v>
      </c>
      <c r="B71" s="1">
        <v>46106</v>
      </c>
      <c r="C71" t="s">
        <v>9</v>
      </c>
      <c r="D71" t="s">
        <v>49</v>
      </c>
      <c r="E71" t="s">
        <v>28</v>
      </c>
      <c r="F71">
        <v>4</v>
      </c>
      <c r="G71">
        <v>35000</v>
      </c>
      <c r="H71">
        <v>24000</v>
      </c>
      <c r="I71" t="str">
        <f>PROPER(TRIM(ventas_raw_200[[#This Row],[Sucursal]]))</f>
        <v>Corrientes</v>
      </c>
      <c r="J71" t="str">
        <f>PROPER(TRIM(ventas_raw_200[[#This Row],[Vendedor]]))</f>
        <v>Carlos Ruiz</v>
      </c>
      <c r="K71" t="str">
        <f>PROPER(TRIM(ventas_raw_200[[#This Row],[Producto]]))</f>
        <v>Alimento Perro Adulto 15Kg</v>
      </c>
      <c r="L71">
        <f>LEN(ventas_raw_200[[#This Row],[ID_Transaccion]])</f>
        <v>8</v>
      </c>
      <c r="M71" t="str">
        <f>TRIM(ventas_raw_200[[#This Row],[ID_Transaccion]])</f>
        <v>TRX-1070</v>
      </c>
      <c r="N71">
        <f>LEN(ventas_raw_200[[#This Row],[ID_Transaccion_Limpio]])</f>
        <v>8</v>
      </c>
      <c r="O71" s="2">
        <f>IFERROR(IF(ventas_raw_200[[#This Row],[Cantidad]]&lt;0,1,ventas_raw_200[[#This Row],[Cantidad]]),1)</f>
        <v>4</v>
      </c>
      <c r="P71" t="str">
        <f>IFERROR(_xlfn.XLOOKUP(K71,maestro_productos_15!$B$2:$B$16,maestro_productos_15!$C$2:$C$16),"No encontrada")</f>
        <v>Mascotas</v>
      </c>
      <c r="Q71" t="str">
        <f>IFERROR(_xlfn.XLOOKUP(K71,maestro_productos_15!$B$2:$B$16,maestro_productos_15!$D$2:$D$16),"No encontrada")</f>
        <v>NutriDog Arg</v>
      </c>
      <c r="R71">
        <f>ventas_raw_200[[#This Row],[Precio_Unitario]]*ventas_raw_200[[#This Row],[Cantidad_Auditada]]</f>
        <v>140000</v>
      </c>
      <c r="S71">
        <f>ventas_raw_200[[#This Row],[Costo_Unitario]]*ventas_raw_200[[#This Row],[Cantidad_Auditada]]</f>
        <v>96000</v>
      </c>
      <c r="T71">
        <f>ventas_raw_200[[#This Row],[Total_Venta]]-ventas_raw_200[[#This Row],[Total_Costo]]</f>
        <v>44000</v>
      </c>
      <c r="U71" s="3" cm="1">
        <f t="array" ref="U71">_xlfn.IFS(AND(G71&gt;25000,I71="Corrientes"),O71*G71*0.06,G71&gt;25000,O71*G71*0.04,TRUE,O71*G71*0.02)</f>
        <v>8400</v>
      </c>
    </row>
    <row r="72" spans="1:21" x14ac:dyDescent="0.25">
      <c r="A72" t="s">
        <v>119</v>
      </c>
      <c r="B72" s="1">
        <v>46031</v>
      </c>
      <c r="C72" t="s">
        <v>13</v>
      </c>
      <c r="D72" t="s">
        <v>49</v>
      </c>
      <c r="E72" t="s">
        <v>17</v>
      </c>
      <c r="F72">
        <v>25</v>
      </c>
      <c r="G72">
        <v>15000</v>
      </c>
      <c r="H72">
        <v>9500</v>
      </c>
      <c r="I72" t="str">
        <f>PROPER(TRIM(ventas_raw_200[[#This Row],[Sucursal]]))</f>
        <v>Posadas</v>
      </c>
      <c r="J72" t="str">
        <f>PROPER(TRIM(ventas_raw_200[[#This Row],[Vendedor]]))</f>
        <v>Carlos Ruiz</v>
      </c>
      <c r="K72" t="str">
        <f>PROPER(TRIM(ventas_raw_200[[#This Row],[Producto]]))</f>
        <v>Mouse Inalámbrico Ergonómico</v>
      </c>
      <c r="L72">
        <f>LEN(ventas_raw_200[[#This Row],[ID_Transaccion]])</f>
        <v>8</v>
      </c>
      <c r="M72" t="str">
        <f>TRIM(ventas_raw_200[[#This Row],[ID_Transaccion]])</f>
        <v>TRX-1071</v>
      </c>
      <c r="N72">
        <f>LEN(ventas_raw_200[[#This Row],[ID_Transaccion_Limpio]])</f>
        <v>8</v>
      </c>
      <c r="O72" s="2">
        <f>IFERROR(IF(ventas_raw_200[[#This Row],[Cantidad]]&lt;0,1,ventas_raw_200[[#This Row],[Cantidad]]),1)</f>
        <v>25</v>
      </c>
      <c r="P72" t="str">
        <f>IFERROR(_xlfn.XLOOKUP(K72,maestro_productos_15!$B$2:$B$16,maestro_productos_15!$C$2:$C$16),"No encontrada")</f>
        <v>Tecnología</v>
      </c>
      <c r="Q72" t="str">
        <f>IFERROR(_xlfn.XLOOKUP(K72,maestro_productos_15!$B$2:$B$16,maestro_productos_15!$D$2:$D$16),"No encontrada")</f>
        <v>TechImport S.R.L.</v>
      </c>
      <c r="R72">
        <f>ventas_raw_200[[#This Row],[Precio_Unitario]]*ventas_raw_200[[#This Row],[Cantidad_Auditada]]</f>
        <v>375000</v>
      </c>
      <c r="S72">
        <f>ventas_raw_200[[#This Row],[Costo_Unitario]]*ventas_raw_200[[#This Row],[Cantidad_Auditada]]</f>
        <v>237500</v>
      </c>
      <c r="T72">
        <f>ventas_raw_200[[#This Row],[Total_Venta]]-ventas_raw_200[[#This Row],[Total_Costo]]</f>
        <v>137500</v>
      </c>
      <c r="U72" s="3" cm="1">
        <f t="array" ref="U72">_xlfn.IFS(AND(G72&gt;25000,I72="Corrientes"),O72*G72*0.06,G72&gt;25000,O72*G72*0.04,TRUE,O72*G72*0.02)</f>
        <v>7500</v>
      </c>
    </row>
    <row r="73" spans="1:21" x14ac:dyDescent="0.25">
      <c r="A73" t="s">
        <v>120</v>
      </c>
      <c r="B73" s="1">
        <v>46056</v>
      </c>
      <c r="C73" t="s">
        <v>56</v>
      </c>
      <c r="D73" t="s">
        <v>20</v>
      </c>
      <c r="E73" t="s">
        <v>41</v>
      </c>
      <c r="F73">
        <v>15</v>
      </c>
      <c r="G73">
        <v>4800</v>
      </c>
      <c r="H73">
        <v>2700</v>
      </c>
      <c r="I73" t="str">
        <f>PROPER(TRIM(ventas_raw_200[[#This Row],[Sucursal]]))</f>
        <v>Resistencia</v>
      </c>
      <c r="J73" t="str">
        <f>PROPER(TRIM(ventas_raw_200[[#This Row],[Vendedor]]))</f>
        <v>Ana Martinez</v>
      </c>
      <c r="K73" t="str">
        <f>PROPER(TRIM(ventas_raw_200[[#This Row],[Producto]]))</f>
        <v>Juguete Mordillo Goma</v>
      </c>
      <c r="L73">
        <f>LEN(ventas_raw_200[[#This Row],[ID_Transaccion]])</f>
        <v>8</v>
      </c>
      <c r="M73" t="str">
        <f>TRIM(ventas_raw_200[[#This Row],[ID_Transaccion]])</f>
        <v>TRX-1072</v>
      </c>
      <c r="N73">
        <f>LEN(ventas_raw_200[[#This Row],[ID_Transaccion_Limpio]])</f>
        <v>8</v>
      </c>
      <c r="O73" s="2">
        <f>IFERROR(IF(ventas_raw_200[[#This Row],[Cantidad]]&lt;0,1,ventas_raw_200[[#This Row],[Cantidad]]),1)</f>
        <v>15</v>
      </c>
      <c r="P73" t="str">
        <f>IFERROR(_xlfn.XLOOKUP(K73,maestro_productos_15!$B$2:$B$16,maestro_productos_15!$C$2:$C$16),"No encontrada")</f>
        <v>Mascotas</v>
      </c>
      <c r="Q73" t="str">
        <f>IFERROR(_xlfn.XLOOKUP(K73,maestro_productos_15!$B$2:$B$16,maestro_productos_15!$D$2:$D$16),"No encontrada")</f>
        <v>PetStyle Litoral</v>
      </c>
      <c r="R73">
        <f>ventas_raw_200[[#This Row],[Precio_Unitario]]*ventas_raw_200[[#This Row],[Cantidad_Auditada]]</f>
        <v>72000</v>
      </c>
      <c r="S73">
        <f>ventas_raw_200[[#This Row],[Costo_Unitario]]*ventas_raw_200[[#This Row],[Cantidad_Auditada]]</f>
        <v>40500</v>
      </c>
      <c r="T73">
        <f>ventas_raw_200[[#This Row],[Total_Venta]]-ventas_raw_200[[#This Row],[Total_Costo]]</f>
        <v>31500</v>
      </c>
      <c r="U73" s="3" cm="1">
        <f t="array" ref="U73">_xlfn.IFS(AND(G73&gt;25000,I73="Corrientes"),O73*G73*0.06,G73&gt;25000,O73*G73*0.04,TRUE,O73*G73*0.02)</f>
        <v>1440</v>
      </c>
    </row>
    <row r="74" spans="1:21" x14ac:dyDescent="0.25">
      <c r="A74" t="s">
        <v>121</v>
      </c>
      <c r="B74" s="1">
        <v>46050</v>
      </c>
      <c r="C74" t="s">
        <v>25</v>
      </c>
      <c r="D74" t="s">
        <v>33</v>
      </c>
      <c r="E74" t="s">
        <v>21</v>
      </c>
      <c r="F74">
        <v>9</v>
      </c>
      <c r="G74">
        <v>3800</v>
      </c>
      <c r="H74">
        <v>2500</v>
      </c>
      <c r="I74" t="str">
        <f>PROPER(TRIM(ventas_raw_200[[#This Row],[Sucursal]]))</f>
        <v>Formosa</v>
      </c>
      <c r="J74" t="str">
        <f>PROPER(TRIM(ventas_raw_200[[#This Row],[Vendedor]]))</f>
        <v>Juan Perez</v>
      </c>
      <c r="K74" t="str">
        <f>PROPER(TRIM(ventas_raw_200[[#This Row],[Producto]]))</f>
        <v>Yerba Mate Premium 1Kg</v>
      </c>
      <c r="L74">
        <f>LEN(ventas_raw_200[[#This Row],[ID_Transaccion]])</f>
        <v>8</v>
      </c>
      <c r="M74" t="str">
        <f>TRIM(ventas_raw_200[[#This Row],[ID_Transaccion]])</f>
        <v>TRX-1073</v>
      </c>
      <c r="N74">
        <f>LEN(ventas_raw_200[[#This Row],[ID_Transaccion_Limpio]])</f>
        <v>8</v>
      </c>
      <c r="O74" s="2">
        <f>IFERROR(IF(ventas_raw_200[[#This Row],[Cantidad]]&lt;0,1,ventas_raw_200[[#This Row],[Cantidad]]),1)</f>
        <v>9</v>
      </c>
      <c r="P74" t="str">
        <f>IFERROR(_xlfn.XLOOKUP(K74,maestro_productos_15!$B$2:$B$16,maestro_productos_15!$C$2:$C$16),"No encontrada")</f>
        <v>Alimentos</v>
      </c>
      <c r="Q74" t="str">
        <f>IFERROR(_xlfn.XLOOKUP(K74,maestro_productos_15!$B$2:$B$16,maestro_productos_15!$D$2:$D$16),"No encontrada")</f>
        <v>Cooperativa Neike</v>
      </c>
      <c r="R74">
        <f>ventas_raw_200[[#This Row],[Precio_Unitario]]*ventas_raw_200[[#This Row],[Cantidad_Auditada]]</f>
        <v>34200</v>
      </c>
      <c r="S74">
        <f>ventas_raw_200[[#This Row],[Costo_Unitario]]*ventas_raw_200[[#This Row],[Cantidad_Auditada]]</f>
        <v>22500</v>
      </c>
      <c r="T74">
        <f>ventas_raw_200[[#This Row],[Total_Venta]]-ventas_raw_200[[#This Row],[Total_Costo]]</f>
        <v>11700</v>
      </c>
      <c r="U74" s="3" cm="1">
        <f t="array" ref="U74">_xlfn.IFS(AND(G74&gt;25000,I74="Corrientes"),O74*G74*0.06,G74&gt;25000,O74*G74*0.04,TRUE,O74*G74*0.02)</f>
        <v>684</v>
      </c>
    </row>
    <row r="75" spans="1:21" x14ac:dyDescent="0.25">
      <c r="A75" t="s">
        <v>122</v>
      </c>
      <c r="B75" s="1">
        <v>46036</v>
      </c>
      <c r="C75" t="s">
        <v>56</v>
      </c>
      <c r="D75" t="s">
        <v>14</v>
      </c>
      <c r="E75" t="s">
        <v>31</v>
      </c>
      <c r="F75">
        <v>8</v>
      </c>
      <c r="G75">
        <v>29500</v>
      </c>
      <c r="H75">
        <v>20000</v>
      </c>
      <c r="I75" t="str">
        <f>PROPER(TRIM(ventas_raw_200[[#This Row],[Sucursal]]))</f>
        <v>Resistencia</v>
      </c>
      <c r="J75" t="str">
        <f>PROPER(TRIM(ventas_raw_200[[#This Row],[Vendedor]]))</f>
        <v>Juan Perez</v>
      </c>
      <c r="K75" t="str">
        <f>PROPER(TRIM(ventas_raw_200[[#This Row],[Producto]]))</f>
        <v>Alimento Gato Castrado 10Kg</v>
      </c>
      <c r="L75">
        <f>LEN(ventas_raw_200[[#This Row],[ID_Transaccion]])</f>
        <v>8</v>
      </c>
      <c r="M75" t="str">
        <f>TRIM(ventas_raw_200[[#This Row],[ID_Transaccion]])</f>
        <v>TRX-1074</v>
      </c>
      <c r="N75">
        <f>LEN(ventas_raw_200[[#This Row],[ID_Transaccion_Limpio]])</f>
        <v>8</v>
      </c>
      <c r="O75" s="2">
        <f>IFERROR(IF(ventas_raw_200[[#This Row],[Cantidad]]&lt;0,1,ventas_raw_200[[#This Row],[Cantidad]]),1)</f>
        <v>8</v>
      </c>
      <c r="P75" t="str">
        <f>IFERROR(_xlfn.XLOOKUP(K75,maestro_productos_15!$B$2:$B$16,maestro_productos_15!$C$2:$C$16),"No encontrada")</f>
        <v>Mascotas</v>
      </c>
      <c r="Q75" t="str">
        <f>IFERROR(_xlfn.XLOOKUP(K75,maestro_productos_15!$B$2:$B$16,maestro_productos_15!$D$2:$D$16),"No encontrada")</f>
        <v>NutriDog Arg</v>
      </c>
      <c r="R75">
        <f>ventas_raw_200[[#This Row],[Precio_Unitario]]*ventas_raw_200[[#This Row],[Cantidad_Auditada]]</f>
        <v>236000</v>
      </c>
      <c r="S75">
        <f>ventas_raw_200[[#This Row],[Costo_Unitario]]*ventas_raw_200[[#This Row],[Cantidad_Auditada]]</f>
        <v>160000</v>
      </c>
      <c r="T75">
        <f>ventas_raw_200[[#This Row],[Total_Venta]]-ventas_raw_200[[#This Row],[Total_Costo]]</f>
        <v>76000</v>
      </c>
      <c r="U75" s="3" cm="1">
        <f t="array" ref="U75">_xlfn.IFS(AND(G75&gt;25000,I75="Corrientes"),O75*G75*0.06,G75&gt;25000,O75*G75*0.04,TRUE,O75*G75*0.02)</f>
        <v>9440</v>
      </c>
    </row>
    <row r="76" spans="1:21" x14ac:dyDescent="0.25">
      <c r="A76" t="s">
        <v>123</v>
      </c>
      <c r="B76" s="1">
        <v>46023</v>
      </c>
      <c r="C76" t="s">
        <v>23</v>
      </c>
      <c r="D76" t="s">
        <v>33</v>
      </c>
      <c r="E76" t="s">
        <v>124</v>
      </c>
      <c r="F76">
        <v>5</v>
      </c>
      <c r="G76">
        <v>19500</v>
      </c>
      <c r="H76">
        <v>12000</v>
      </c>
      <c r="I76" t="str">
        <f>PROPER(TRIM(ventas_raw_200[[#This Row],[Sucursal]]))</f>
        <v>Corrientes</v>
      </c>
      <c r="J76" t="str">
        <f>PROPER(TRIM(ventas_raw_200[[#This Row],[Vendedor]]))</f>
        <v>Juan Perez</v>
      </c>
      <c r="K76" t="str">
        <f>PROPER(TRIM(ventas_raw_200[[#This Row],[Producto]]))</f>
        <v>Soporte Regulable Notebook</v>
      </c>
      <c r="L76">
        <f>LEN(ventas_raw_200[[#This Row],[ID_Transaccion]])</f>
        <v>10</v>
      </c>
      <c r="M76" t="str">
        <f>TRIM(ventas_raw_200[[#This Row],[ID_Transaccion]])</f>
        <v>TRX-1075</v>
      </c>
      <c r="N76">
        <f>LEN(ventas_raw_200[[#This Row],[ID_Transaccion_Limpio]])</f>
        <v>8</v>
      </c>
      <c r="O76" s="2">
        <f>IFERROR(IF(ventas_raw_200[[#This Row],[Cantidad]]&lt;0,1,ventas_raw_200[[#This Row],[Cantidad]]),1)</f>
        <v>5</v>
      </c>
      <c r="P76" t="str">
        <f>IFERROR(_xlfn.XLOOKUP(K76,maestro_productos_15!$B$2:$B$16,maestro_productos_15!$C$2:$C$16),"No encontrada")</f>
        <v>Tecnología</v>
      </c>
      <c r="Q76" t="str">
        <f>IFERROR(_xlfn.XLOOKUP(K76,maestro_productos_15!$B$2:$B$16,maestro_productos_15!$D$2:$D$16),"No encontrada")</f>
        <v>TechImport S.R.L.</v>
      </c>
      <c r="R76">
        <f>ventas_raw_200[[#This Row],[Precio_Unitario]]*ventas_raw_200[[#This Row],[Cantidad_Auditada]]</f>
        <v>97500</v>
      </c>
      <c r="S76">
        <f>ventas_raw_200[[#This Row],[Costo_Unitario]]*ventas_raw_200[[#This Row],[Cantidad_Auditada]]</f>
        <v>60000</v>
      </c>
      <c r="T76">
        <f>ventas_raw_200[[#This Row],[Total_Venta]]-ventas_raw_200[[#This Row],[Total_Costo]]</f>
        <v>37500</v>
      </c>
      <c r="U76" s="3" cm="1">
        <f t="array" ref="U76">_xlfn.IFS(AND(G76&gt;25000,I76="Corrientes"),O76*G76*0.06,G76&gt;25000,O76*G76*0.04,TRUE,O76*G76*0.02)</f>
        <v>1950</v>
      </c>
    </row>
    <row r="77" spans="1:21" x14ac:dyDescent="0.25">
      <c r="A77" t="s">
        <v>125</v>
      </c>
      <c r="B77" s="1">
        <v>46084</v>
      </c>
      <c r="C77" t="s">
        <v>56</v>
      </c>
      <c r="D77" t="s">
        <v>69</v>
      </c>
      <c r="E77" t="s">
        <v>28</v>
      </c>
      <c r="F77">
        <v>14</v>
      </c>
      <c r="G77">
        <v>35000</v>
      </c>
      <c r="H77">
        <v>24000</v>
      </c>
      <c r="I77" t="str">
        <f>PROPER(TRIM(ventas_raw_200[[#This Row],[Sucursal]]))</f>
        <v>Resistencia</v>
      </c>
      <c r="J77" t="str">
        <f>PROPER(TRIM(ventas_raw_200[[#This Row],[Vendedor]]))</f>
        <v>Carlos Ruiz</v>
      </c>
      <c r="K77" t="str">
        <f>PROPER(TRIM(ventas_raw_200[[#This Row],[Producto]]))</f>
        <v>Alimento Perro Adulto 15Kg</v>
      </c>
      <c r="L77">
        <f>LEN(ventas_raw_200[[#This Row],[ID_Transaccion]])</f>
        <v>8</v>
      </c>
      <c r="M77" t="str">
        <f>TRIM(ventas_raw_200[[#This Row],[ID_Transaccion]])</f>
        <v>TRX-1076</v>
      </c>
      <c r="N77">
        <f>LEN(ventas_raw_200[[#This Row],[ID_Transaccion_Limpio]])</f>
        <v>8</v>
      </c>
      <c r="O77" s="2">
        <f>IFERROR(IF(ventas_raw_200[[#This Row],[Cantidad]]&lt;0,1,ventas_raw_200[[#This Row],[Cantidad]]),1)</f>
        <v>14</v>
      </c>
      <c r="P77" t="str">
        <f>IFERROR(_xlfn.XLOOKUP(K77,maestro_productos_15!$B$2:$B$16,maestro_productos_15!$C$2:$C$16),"No encontrada")</f>
        <v>Mascotas</v>
      </c>
      <c r="Q77" t="str">
        <f>IFERROR(_xlfn.XLOOKUP(K77,maestro_productos_15!$B$2:$B$16,maestro_productos_15!$D$2:$D$16),"No encontrada")</f>
        <v>NutriDog Arg</v>
      </c>
      <c r="R77">
        <f>ventas_raw_200[[#This Row],[Precio_Unitario]]*ventas_raw_200[[#This Row],[Cantidad_Auditada]]</f>
        <v>490000</v>
      </c>
      <c r="S77">
        <f>ventas_raw_200[[#This Row],[Costo_Unitario]]*ventas_raw_200[[#This Row],[Cantidad_Auditada]]</f>
        <v>336000</v>
      </c>
      <c r="T77">
        <f>ventas_raw_200[[#This Row],[Total_Venta]]-ventas_raw_200[[#This Row],[Total_Costo]]</f>
        <v>154000</v>
      </c>
      <c r="U77" s="3" cm="1">
        <f t="array" ref="U77">_xlfn.IFS(AND(G77&gt;25000,I77="Corrientes"),O77*G77*0.06,G77&gt;25000,O77*G77*0.04,TRUE,O77*G77*0.02)</f>
        <v>19600</v>
      </c>
    </row>
    <row r="78" spans="1:21" x14ac:dyDescent="0.25">
      <c r="A78" t="s">
        <v>126</v>
      </c>
      <c r="B78" s="1">
        <v>46087</v>
      </c>
      <c r="C78" t="s">
        <v>25</v>
      </c>
      <c r="D78" t="s">
        <v>49</v>
      </c>
      <c r="E78" t="s">
        <v>50</v>
      </c>
      <c r="F78">
        <v>1</v>
      </c>
      <c r="G78">
        <v>32000</v>
      </c>
      <c r="H78">
        <v>21000</v>
      </c>
      <c r="I78" t="str">
        <f>PROPER(TRIM(ventas_raw_200[[#This Row],[Sucursal]]))</f>
        <v>Formosa</v>
      </c>
      <c r="J78" t="str">
        <f>PROPER(TRIM(ventas_raw_200[[#This Row],[Vendedor]]))</f>
        <v>Carlos Ruiz</v>
      </c>
      <c r="K78" t="str">
        <f>PROPER(TRIM(ventas_raw_200[[#This Row],[Producto]]))</f>
        <v>Termo Acero Inoxidable 1.3L</v>
      </c>
      <c r="L78">
        <f>LEN(ventas_raw_200[[#This Row],[ID_Transaccion]])</f>
        <v>10</v>
      </c>
      <c r="M78" t="str">
        <f>TRIM(ventas_raw_200[[#This Row],[ID_Transaccion]])</f>
        <v>TRX-1077</v>
      </c>
      <c r="N78">
        <f>LEN(ventas_raw_200[[#This Row],[ID_Transaccion_Limpio]])</f>
        <v>8</v>
      </c>
      <c r="O78" s="2">
        <f>IFERROR(IF(ventas_raw_200[[#This Row],[Cantidad]]&lt;0,1,ventas_raw_200[[#This Row],[Cantidad]]),1)</f>
        <v>1</v>
      </c>
      <c r="P78" t="str">
        <f>IFERROR(_xlfn.XLOOKUP(K78,maestro_productos_15!$B$2:$B$16,maestro_productos_15!$C$2:$C$16),"No encontrada")</f>
        <v>Bazar</v>
      </c>
      <c r="Q78" t="str">
        <f>IFERROR(_xlfn.XLOOKUP(K78,maestro_productos_15!$B$2:$B$16,maestro_productos_15!$D$2:$D$16),"No encontrada")</f>
        <v>Distribuidora del Nordeste</v>
      </c>
      <c r="R78">
        <f>ventas_raw_200[[#This Row],[Precio_Unitario]]*ventas_raw_200[[#This Row],[Cantidad_Auditada]]</f>
        <v>32000</v>
      </c>
      <c r="S78">
        <f>ventas_raw_200[[#This Row],[Costo_Unitario]]*ventas_raw_200[[#This Row],[Cantidad_Auditada]]</f>
        <v>21000</v>
      </c>
      <c r="T78">
        <f>ventas_raw_200[[#This Row],[Total_Venta]]-ventas_raw_200[[#This Row],[Total_Costo]]</f>
        <v>11000</v>
      </c>
      <c r="U78" s="3" cm="1">
        <f t="array" ref="U78">_xlfn.IFS(AND(G78&gt;25000,I78="Corrientes"),O78*G78*0.06,G78&gt;25000,O78*G78*0.04,TRUE,O78*G78*0.02)</f>
        <v>1280</v>
      </c>
    </row>
    <row r="79" spans="1:21" x14ac:dyDescent="0.25">
      <c r="A79" t="s">
        <v>127</v>
      </c>
      <c r="B79" s="1">
        <v>46082</v>
      </c>
      <c r="C79" t="s">
        <v>25</v>
      </c>
      <c r="D79" t="s">
        <v>69</v>
      </c>
      <c r="E79" t="s">
        <v>64</v>
      </c>
      <c r="F79">
        <v>24</v>
      </c>
      <c r="G79">
        <v>18500</v>
      </c>
      <c r="H79">
        <v>12500</v>
      </c>
      <c r="I79" t="str">
        <f>PROPER(TRIM(ventas_raw_200[[#This Row],[Sucursal]]))</f>
        <v>Formosa</v>
      </c>
      <c r="J79" t="str">
        <f>PROPER(TRIM(ventas_raw_200[[#This Row],[Vendedor]]))</f>
        <v>Carlos Ruiz</v>
      </c>
      <c r="K79" t="str">
        <f>PROPER(TRIM(ventas_raw_200[[#This Row],[Producto]]))</f>
        <v>Café En Grano Intenso 1Kg</v>
      </c>
      <c r="L79">
        <f>LEN(ventas_raw_200[[#This Row],[ID_Transaccion]])</f>
        <v>8</v>
      </c>
      <c r="M79" t="str">
        <f>TRIM(ventas_raw_200[[#This Row],[ID_Transaccion]])</f>
        <v>TRX-1078</v>
      </c>
      <c r="N79">
        <f>LEN(ventas_raw_200[[#This Row],[ID_Transaccion_Limpio]])</f>
        <v>8</v>
      </c>
      <c r="O79" s="2">
        <f>IFERROR(IF(ventas_raw_200[[#This Row],[Cantidad]]&lt;0,1,ventas_raw_200[[#This Row],[Cantidad]]),1)</f>
        <v>24</v>
      </c>
      <c r="P79" t="str">
        <f>IFERROR(_xlfn.XLOOKUP(K79,maestro_productos_15!$B$2:$B$16,maestro_productos_15!$C$2:$C$16),"No encontrada")</f>
        <v>Alimentos</v>
      </c>
      <c r="Q79" t="str">
        <f>IFERROR(_xlfn.XLOOKUP(K79,maestro_productos_15!$B$2:$B$16,maestro_productos_15!$D$2:$D$16),"No encontrada")</f>
        <v>Distribuidora del Nordeste</v>
      </c>
      <c r="R79">
        <f>ventas_raw_200[[#This Row],[Precio_Unitario]]*ventas_raw_200[[#This Row],[Cantidad_Auditada]]</f>
        <v>444000</v>
      </c>
      <c r="S79">
        <f>ventas_raw_200[[#This Row],[Costo_Unitario]]*ventas_raw_200[[#This Row],[Cantidad_Auditada]]</f>
        <v>300000</v>
      </c>
      <c r="T79">
        <f>ventas_raw_200[[#This Row],[Total_Venta]]-ventas_raw_200[[#This Row],[Total_Costo]]</f>
        <v>144000</v>
      </c>
      <c r="U79" s="3" cm="1">
        <f t="array" ref="U79">_xlfn.IFS(AND(G79&gt;25000,I79="Corrientes"),O79*G79*0.06,G79&gt;25000,O79*G79*0.04,TRUE,O79*G79*0.02)</f>
        <v>8880</v>
      </c>
    </row>
    <row r="80" spans="1:21" x14ac:dyDescent="0.25">
      <c r="A80" t="s">
        <v>128</v>
      </c>
      <c r="B80" s="1">
        <v>46110</v>
      </c>
      <c r="C80" t="s">
        <v>19</v>
      </c>
      <c r="D80" t="s">
        <v>69</v>
      </c>
      <c r="E80" t="s">
        <v>43</v>
      </c>
      <c r="F80">
        <v>13</v>
      </c>
      <c r="G80">
        <v>6200</v>
      </c>
      <c r="H80">
        <v>3800</v>
      </c>
      <c r="I80" t="str">
        <f>PROPER(TRIM(ventas_raw_200[[#This Row],[Sucursal]]))</f>
        <v>Resistencia</v>
      </c>
      <c r="J80" t="str">
        <f>PROPER(TRIM(ventas_raw_200[[#This Row],[Vendedor]]))</f>
        <v>Carlos Ruiz</v>
      </c>
      <c r="K80" t="str">
        <f>PROPER(TRIM(ventas_raw_200[[#This Row],[Producto]]))</f>
        <v>Shampoo Canino Neutro 500Ml</v>
      </c>
      <c r="L80">
        <f>LEN(ventas_raw_200[[#This Row],[ID_Transaccion]])</f>
        <v>8</v>
      </c>
      <c r="M80" t="str">
        <f>TRIM(ventas_raw_200[[#This Row],[ID_Transaccion]])</f>
        <v>TRX-1079</v>
      </c>
      <c r="N80">
        <f>LEN(ventas_raw_200[[#This Row],[ID_Transaccion_Limpio]])</f>
        <v>8</v>
      </c>
      <c r="O80" s="2">
        <f>IFERROR(IF(ventas_raw_200[[#This Row],[Cantidad]]&lt;0,1,ventas_raw_200[[#This Row],[Cantidad]]),1)</f>
        <v>13</v>
      </c>
      <c r="P80" t="str">
        <f>IFERROR(_xlfn.XLOOKUP(K80,maestro_productos_15!$B$2:$B$16,maestro_productos_15!$C$2:$C$16),"No encontrada")</f>
        <v>Mascotas</v>
      </c>
      <c r="Q80" t="str">
        <f>IFERROR(_xlfn.XLOOKUP(K80,maestro_productos_15!$B$2:$B$16,maestro_productos_15!$D$2:$D$16),"No encontrada")</f>
        <v>PetStyle Litoral</v>
      </c>
      <c r="R80">
        <f>ventas_raw_200[[#This Row],[Precio_Unitario]]*ventas_raw_200[[#This Row],[Cantidad_Auditada]]</f>
        <v>80600</v>
      </c>
      <c r="S80">
        <f>ventas_raw_200[[#This Row],[Costo_Unitario]]*ventas_raw_200[[#This Row],[Cantidad_Auditada]]</f>
        <v>49400</v>
      </c>
      <c r="T80">
        <f>ventas_raw_200[[#This Row],[Total_Venta]]-ventas_raw_200[[#This Row],[Total_Costo]]</f>
        <v>31200</v>
      </c>
      <c r="U80" s="3" cm="1">
        <f t="array" ref="U80">_xlfn.IFS(AND(G80&gt;25000,I80="Corrientes"),O80*G80*0.06,G80&gt;25000,O80*G80*0.04,TRUE,O80*G80*0.02)</f>
        <v>1612</v>
      </c>
    </row>
    <row r="81" spans="1:21" x14ac:dyDescent="0.25">
      <c r="A81" t="s">
        <v>129</v>
      </c>
      <c r="B81" s="1">
        <v>46037</v>
      </c>
      <c r="C81" t="s">
        <v>25</v>
      </c>
      <c r="D81" t="s">
        <v>69</v>
      </c>
      <c r="E81" t="s">
        <v>36</v>
      </c>
      <c r="F81">
        <v>20</v>
      </c>
      <c r="G81">
        <v>3100</v>
      </c>
      <c r="H81">
        <v>1800</v>
      </c>
      <c r="I81" t="str">
        <f>PROPER(TRIM(ventas_raw_200[[#This Row],[Sucursal]]))</f>
        <v>Formosa</v>
      </c>
      <c r="J81" t="str">
        <f>PROPER(TRIM(ventas_raw_200[[#This Row],[Vendedor]]))</f>
        <v>Carlos Ruiz</v>
      </c>
      <c r="K81" t="str">
        <f>PROPER(TRIM(ventas_raw_200[[#This Row],[Producto]]))</f>
        <v>Snack Premios Perro 250G</v>
      </c>
      <c r="L81">
        <f>LEN(ventas_raw_200[[#This Row],[ID_Transaccion]])</f>
        <v>8</v>
      </c>
      <c r="M81" t="str">
        <f>TRIM(ventas_raw_200[[#This Row],[ID_Transaccion]])</f>
        <v>TRX-1080</v>
      </c>
      <c r="N81">
        <f>LEN(ventas_raw_200[[#This Row],[ID_Transaccion_Limpio]])</f>
        <v>8</v>
      </c>
      <c r="O81" s="2">
        <f>IFERROR(IF(ventas_raw_200[[#This Row],[Cantidad]]&lt;0,1,ventas_raw_200[[#This Row],[Cantidad]]),1)</f>
        <v>20</v>
      </c>
      <c r="P81" t="str">
        <f>IFERROR(_xlfn.XLOOKUP(K81,maestro_productos_15!$B$2:$B$16,maestro_productos_15!$C$2:$C$16),"No encontrada")</f>
        <v>Mascotas</v>
      </c>
      <c r="Q81" t="str">
        <f>IFERROR(_xlfn.XLOOKUP(K81,maestro_productos_15!$B$2:$B$16,maestro_productos_15!$D$2:$D$16),"No encontrada")</f>
        <v>NutriDog Arg</v>
      </c>
      <c r="R81">
        <f>ventas_raw_200[[#This Row],[Precio_Unitario]]*ventas_raw_200[[#This Row],[Cantidad_Auditada]]</f>
        <v>62000</v>
      </c>
      <c r="S81">
        <f>ventas_raw_200[[#This Row],[Costo_Unitario]]*ventas_raw_200[[#This Row],[Cantidad_Auditada]]</f>
        <v>36000</v>
      </c>
      <c r="T81">
        <f>ventas_raw_200[[#This Row],[Total_Venta]]-ventas_raw_200[[#This Row],[Total_Costo]]</f>
        <v>26000</v>
      </c>
      <c r="U81" s="3" cm="1">
        <f t="array" ref="U81">_xlfn.IFS(AND(G81&gt;25000,I81="Corrientes"),O81*G81*0.06,G81&gt;25000,O81*G81*0.04,TRUE,O81*G81*0.02)</f>
        <v>1240</v>
      </c>
    </row>
    <row r="82" spans="1:21" x14ac:dyDescent="0.25">
      <c r="A82" t="s">
        <v>130</v>
      </c>
      <c r="B82" s="1">
        <v>46026</v>
      </c>
      <c r="C82" t="s">
        <v>9</v>
      </c>
      <c r="D82" t="s">
        <v>14</v>
      </c>
      <c r="E82" t="s">
        <v>64</v>
      </c>
      <c r="F82">
        <v>5</v>
      </c>
      <c r="G82">
        <v>18500</v>
      </c>
      <c r="H82">
        <v>12500</v>
      </c>
      <c r="I82" t="str">
        <f>PROPER(TRIM(ventas_raw_200[[#This Row],[Sucursal]]))</f>
        <v>Corrientes</v>
      </c>
      <c r="J82" t="str">
        <f>PROPER(TRIM(ventas_raw_200[[#This Row],[Vendedor]]))</f>
        <v>Juan Perez</v>
      </c>
      <c r="K82" t="str">
        <f>PROPER(TRIM(ventas_raw_200[[#This Row],[Producto]]))</f>
        <v>Café En Grano Intenso 1Kg</v>
      </c>
      <c r="L82">
        <f>LEN(ventas_raw_200[[#This Row],[ID_Transaccion]])</f>
        <v>8</v>
      </c>
      <c r="M82" t="str">
        <f>TRIM(ventas_raw_200[[#This Row],[ID_Transaccion]])</f>
        <v>TRX-1081</v>
      </c>
      <c r="N82">
        <f>LEN(ventas_raw_200[[#This Row],[ID_Transaccion_Limpio]])</f>
        <v>8</v>
      </c>
      <c r="O82" s="2">
        <f>IFERROR(IF(ventas_raw_200[[#This Row],[Cantidad]]&lt;0,1,ventas_raw_200[[#This Row],[Cantidad]]),1)</f>
        <v>5</v>
      </c>
      <c r="P82" t="str">
        <f>IFERROR(_xlfn.XLOOKUP(K82,maestro_productos_15!$B$2:$B$16,maestro_productos_15!$C$2:$C$16),"No encontrada")</f>
        <v>Alimentos</v>
      </c>
      <c r="Q82" t="str">
        <f>IFERROR(_xlfn.XLOOKUP(K82,maestro_productos_15!$B$2:$B$16,maestro_productos_15!$D$2:$D$16),"No encontrada")</f>
        <v>Distribuidora del Nordeste</v>
      </c>
      <c r="R82">
        <f>ventas_raw_200[[#This Row],[Precio_Unitario]]*ventas_raw_200[[#This Row],[Cantidad_Auditada]]</f>
        <v>92500</v>
      </c>
      <c r="S82">
        <f>ventas_raw_200[[#This Row],[Costo_Unitario]]*ventas_raw_200[[#This Row],[Cantidad_Auditada]]</f>
        <v>62500</v>
      </c>
      <c r="T82">
        <f>ventas_raw_200[[#This Row],[Total_Venta]]-ventas_raw_200[[#This Row],[Total_Costo]]</f>
        <v>30000</v>
      </c>
      <c r="U82" s="3" cm="1">
        <f t="array" ref="U82">_xlfn.IFS(AND(G82&gt;25000,I82="Corrientes"),O82*G82*0.06,G82&gt;25000,O82*G82*0.04,TRUE,O82*G82*0.02)</f>
        <v>1850</v>
      </c>
    </row>
    <row r="83" spans="1:21" x14ac:dyDescent="0.25">
      <c r="A83" t="s">
        <v>131</v>
      </c>
      <c r="B83" s="1">
        <v>46085</v>
      </c>
      <c r="C83" t="s">
        <v>23</v>
      </c>
      <c r="D83" t="s">
        <v>69</v>
      </c>
      <c r="E83" t="s">
        <v>50</v>
      </c>
      <c r="F83">
        <v>25</v>
      </c>
      <c r="G83">
        <v>32000</v>
      </c>
      <c r="H83">
        <v>21000</v>
      </c>
      <c r="I83" t="str">
        <f>PROPER(TRIM(ventas_raw_200[[#This Row],[Sucursal]]))</f>
        <v>Corrientes</v>
      </c>
      <c r="J83" t="str">
        <f>PROPER(TRIM(ventas_raw_200[[#This Row],[Vendedor]]))</f>
        <v>Carlos Ruiz</v>
      </c>
      <c r="K83" t="str">
        <f>PROPER(TRIM(ventas_raw_200[[#This Row],[Producto]]))</f>
        <v>Termo Acero Inoxidable 1.3L</v>
      </c>
      <c r="L83">
        <f>LEN(ventas_raw_200[[#This Row],[ID_Transaccion]])</f>
        <v>8</v>
      </c>
      <c r="M83" t="str">
        <f>TRIM(ventas_raw_200[[#This Row],[ID_Transaccion]])</f>
        <v>TRX-1082</v>
      </c>
      <c r="N83">
        <f>LEN(ventas_raw_200[[#This Row],[ID_Transaccion_Limpio]])</f>
        <v>8</v>
      </c>
      <c r="O83" s="2">
        <f>IFERROR(IF(ventas_raw_200[[#This Row],[Cantidad]]&lt;0,1,ventas_raw_200[[#This Row],[Cantidad]]),1)</f>
        <v>25</v>
      </c>
      <c r="P83" t="str">
        <f>IFERROR(_xlfn.XLOOKUP(K83,maestro_productos_15!$B$2:$B$16,maestro_productos_15!$C$2:$C$16),"No encontrada")</f>
        <v>Bazar</v>
      </c>
      <c r="Q83" t="str">
        <f>IFERROR(_xlfn.XLOOKUP(K83,maestro_productos_15!$B$2:$B$16,maestro_productos_15!$D$2:$D$16),"No encontrada")</f>
        <v>Distribuidora del Nordeste</v>
      </c>
      <c r="R83">
        <f>ventas_raw_200[[#This Row],[Precio_Unitario]]*ventas_raw_200[[#This Row],[Cantidad_Auditada]]</f>
        <v>800000</v>
      </c>
      <c r="S83">
        <f>ventas_raw_200[[#This Row],[Costo_Unitario]]*ventas_raw_200[[#This Row],[Cantidad_Auditada]]</f>
        <v>525000</v>
      </c>
      <c r="T83">
        <f>ventas_raw_200[[#This Row],[Total_Venta]]-ventas_raw_200[[#This Row],[Total_Costo]]</f>
        <v>275000</v>
      </c>
      <c r="U83" s="3" cm="1">
        <f t="array" ref="U83">_xlfn.IFS(AND(G83&gt;25000,I83="Corrientes"),O83*G83*0.06,G83&gt;25000,O83*G83*0.04,TRUE,O83*G83*0.02)</f>
        <v>48000</v>
      </c>
    </row>
    <row r="84" spans="1:21" x14ac:dyDescent="0.25">
      <c r="A84" t="s">
        <v>132</v>
      </c>
      <c r="B84" s="1">
        <v>46104</v>
      </c>
      <c r="C84" t="s">
        <v>9</v>
      </c>
      <c r="D84" t="s">
        <v>69</v>
      </c>
      <c r="E84" t="s">
        <v>43</v>
      </c>
      <c r="F84">
        <v>-5</v>
      </c>
      <c r="G84">
        <v>6200</v>
      </c>
      <c r="H84">
        <v>3800</v>
      </c>
      <c r="I84" t="str">
        <f>PROPER(TRIM(ventas_raw_200[[#This Row],[Sucursal]]))</f>
        <v>Corrientes</v>
      </c>
      <c r="J84" t="str">
        <f>PROPER(TRIM(ventas_raw_200[[#This Row],[Vendedor]]))</f>
        <v>Carlos Ruiz</v>
      </c>
      <c r="K84" t="str">
        <f>PROPER(TRIM(ventas_raw_200[[#This Row],[Producto]]))</f>
        <v>Shampoo Canino Neutro 500Ml</v>
      </c>
      <c r="L84">
        <f>LEN(ventas_raw_200[[#This Row],[ID_Transaccion]])</f>
        <v>8</v>
      </c>
      <c r="M84" t="str">
        <f>TRIM(ventas_raw_200[[#This Row],[ID_Transaccion]])</f>
        <v>TRX-1083</v>
      </c>
      <c r="N84">
        <f>LEN(ventas_raw_200[[#This Row],[ID_Transaccion_Limpio]])</f>
        <v>8</v>
      </c>
      <c r="O84" s="2">
        <f>IFERROR(IF(ventas_raw_200[[#This Row],[Cantidad]]&lt;0,1,ventas_raw_200[[#This Row],[Cantidad]]),1)</f>
        <v>1</v>
      </c>
      <c r="P84" t="str">
        <f>IFERROR(_xlfn.XLOOKUP(K84,maestro_productos_15!$B$2:$B$16,maestro_productos_15!$C$2:$C$16),"No encontrada")</f>
        <v>Mascotas</v>
      </c>
      <c r="Q84" t="str">
        <f>IFERROR(_xlfn.XLOOKUP(K84,maestro_productos_15!$B$2:$B$16,maestro_productos_15!$D$2:$D$16),"No encontrada")</f>
        <v>PetStyle Litoral</v>
      </c>
      <c r="R84">
        <f>ventas_raw_200[[#This Row],[Precio_Unitario]]*ventas_raw_200[[#This Row],[Cantidad_Auditada]]</f>
        <v>6200</v>
      </c>
      <c r="S84">
        <f>ventas_raw_200[[#This Row],[Costo_Unitario]]*ventas_raw_200[[#This Row],[Cantidad_Auditada]]</f>
        <v>3800</v>
      </c>
      <c r="T84">
        <f>ventas_raw_200[[#This Row],[Total_Venta]]-ventas_raw_200[[#This Row],[Total_Costo]]</f>
        <v>2400</v>
      </c>
      <c r="U84" s="3" cm="1">
        <f t="array" ref="U84">_xlfn.IFS(AND(G84&gt;25000,I84="Corrientes"),O84*G84*0.06,G84&gt;25000,O84*G84*0.04,TRUE,O84*G84*0.02)</f>
        <v>124</v>
      </c>
    </row>
    <row r="85" spans="1:21" x14ac:dyDescent="0.25">
      <c r="A85" t="s">
        <v>133</v>
      </c>
      <c r="B85" s="1">
        <v>46031</v>
      </c>
      <c r="C85" t="s">
        <v>9</v>
      </c>
      <c r="D85" t="s">
        <v>20</v>
      </c>
      <c r="E85" t="s">
        <v>62</v>
      </c>
      <c r="F85">
        <v>2</v>
      </c>
      <c r="G85">
        <v>19500</v>
      </c>
      <c r="H85">
        <v>12000</v>
      </c>
      <c r="I85" t="str">
        <f>PROPER(TRIM(ventas_raw_200[[#This Row],[Sucursal]]))</f>
        <v>Corrientes</v>
      </c>
      <c r="J85" t="str">
        <f>PROPER(TRIM(ventas_raw_200[[#This Row],[Vendedor]]))</f>
        <v>Ana Martinez</v>
      </c>
      <c r="K85" t="str">
        <f>PROPER(TRIM(ventas_raw_200[[#This Row],[Producto]]))</f>
        <v>Soporte Regulable Notebook</v>
      </c>
      <c r="L85">
        <f>LEN(ventas_raw_200[[#This Row],[ID_Transaccion]])</f>
        <v>8</v>
      </c>
      <c r="M85" t="str">
        <f>TRIM(ventas_raw_200[[#This Row],[ID_Transaccion]])</f>
        <v>TRX-1084</v>
      </c>
      <c r="N85">
        <f>LEN(ventas_raw_200[[#This Row],[ID_Transaccion_Limpio]])</f>
        <v>8</v>
      </c>
      <c r="O85" s="2">
        <f>IFERROR(IF(ventas_raw_200[[#This Row],[Cantidad]]&lt;0,1,ventas_raw_200[[#This Row],[Cantidad]]),1)</f>
        <v>2</v>
      </c>
      <c r="P85" t="str">
        <f>IFERROR(_xlfn.XLOOKUP(K85,maestro_productos_15!$B$2:$B$16,maestro_productos_15!$C$2:$C$16),"No encontrada")</f>
        <v>Tecnología</v>
      </c>
      <c r="Q85" t="str">
        <f>IFERROR(_xlfn.XLOOKUP(K85,maestro_productos_15!$B$2:$B$16,maestro_productos_15!$D$2:$D$16),"No encontrada")</f>
        <v>TechImport S.R.L.</v>
      </c>
      <c r="R85">
        <f>ventas_raw_200[[#This Row],[Precio_Unitario]]*ventas_raw_200[[#This Row],[Cantidad_Auditada]]</f>
        <v>39000</v>
      </c>
      <c r="S85">
        <f>ventas_raw_200[[#This Row],[Costo_Unitario]]*ventas_raw_200[[#This Row],[Cantidad_Auditada]]</f>
        <v>24000</v>
      </c>
      <c r="T85">
        <f>ventas_raw_200[[#This Row],[Total_Venta]]-ventas_raw_200[[#This Row],[Total_Costo]]</f>
        <v>15000</v>
      </c>
      <c r="U85" s="3" cm="1">
        <f t="array" ref="U85">_xlfn.IFS(AND(G85&gt;25000,I85="Corrientes"),O85*G85*0.06,G85&gt;25000,O85*G85*0.04,TRUE,O85*G85*0.02)</f>
        <v>780</v>
      </c>
    </row>
    <row r="86" spans="1:21" x14ac:dyDescent="0.25">
      <c r="A86" t="s">
        <v>134</v>
      </c>
      <c r="B86" s="1">
        <v>46106</v>
      </c>
      <c r="C86" t="s">
        <v>13</v>
      </c>
      <c r="D86" t="s">
        <v>33</v>
      </c>
      <c r="E86" t="s">
        <v>43</v>
      </c>
      <c r="F86">
        <v>16</v>
      </c>
      <c r="G86">
        <v>6200</v>
      </c>
      <c r="H86">
        <v>3800</v>
      </c>
      <c r="I86" t="str">
        <f>PROPER(TRIM(ventas_raw_200[[#This Row],[Sucursal]]))</f>
        <v>Posadas</v>
      </c>
      <c r="J86" t="str">
        <f>PROPER(TRIM(ventas_raw_200[[#This Row],[Vendedor]]))</f>
        <v>Juan Perez</v>
      </c>
      <c r="K86" t="str">
        <f>PROPER(TRIM(ventas_raw_200[[#This Row],[Producto]]))</f>
        <v>Shampoo Canino Neutro 500Ml</v>
      </c>
      <c r="L86">
        <f>LEN(ventas_raw_200[[#This Row],[ID_Transaccion]])</f>
        <v>8</v>
      </c>
      <c r="M86" t="str">
        <f>TRIM(ventas_raw_200[[#This Row],[ID_Transaccion]])</f>
        <v>TRX-1085</v>
      </c>
      <c r="N86">
        <f>LEN(ventas_raw_200[[#This Row],[ID_Transaccion_Limpio]])</f>
        <v>8</v>
      </c>
      <c r="O86" s="2">
        <f>IFERROR(IF(ventas_raw_200[[#This Row],[Cantidad]]&lt;0,1,ventas_raw_200[[#This Row],[Cantidad]]),1)</f>
        <v>16</v>
      </c>
      <c r="P86" t="str">
        <f>IFERROR(_xlfn.XLOOKUP(K86,maestro_productos_15!$B$2:$B$16,maestro_productos_15!$C$2:$C$16),"No encontrada")</f>
        <v>Mascotas</v>
      </c>
      <c r="Q86" t="str">
        <f>IFERROR(_xlfn.XLOOKUP(K86,maestro_productos_15!$B$2:$B$16,maestro_productos_15!$D$2:$D$16),"No encontrada")</f>
        <v>PetStyle Litoral</v>
      </c>
      <c r="R86">
        <f>ventas_raw_200[[#This Row],[Precio_Unitario]]*ventas_raw_200[[#This Row],[Cantidad_Auditada]]</f>
        <v>99200</v>
      </c>
      <c r="S86">
        <f>ventas_raw_200[[#This Row],[Costo_Unitario]]*ventas_raw_200[[#This Row],[Cantidad_Auditada]]</f>
        <v>60800</v>
      </c>
      <c r="T86">
        <f>ventas_raw_200[[#This Row],[Total_Venta]]-ventas_raw_200[[#This Row],[Total_Costo]]</f>
        <v>38400</v>
      </c>
      <c r="U86" s="3" cm="1">
        <f t="array" ref="U86">_xlfn.IFS(AND(G86&gt;25000,I86="Corrientes"),O86*G86*0.06,G86&gt;25000,O86*G86*0.04,TRUE,O86*G86*0.02)</f>
        <v>1984</v>
      </c>
    </row>
    <row r="87" spans="1:21" x14ac:dyDescent="0.25">
      <c r="A87" t="s">
        <v>135</v>
      </c>
      <c r="B87" s="1">
        <v>46064</v>
      </c>
      <c r="C87" t="s">
        <v>19</v>
      </c>
      <c r="D87" t="s">
        <v>20</v>
      </c>
      <c r="E87" t="s">
        <v>17</v>
      </c>
      <c r="F87">
        <v>20</v>
      </c>
      <c r="G87">
        <v>15000</v>
      </c>
      <c r="H87">
        <v>9500</v>
      </c>
      <c r="I87" t="str">
        <f>PROPER(TRIM(ventas_raw_200[[#This Row],[Sucursal]]))</f>
        <v>Resistencia</v>
      </c>
      <c r="J87" t="str">
        <f>PROPER(TRIM(ventas_raw_200[[#This Row],[Vendedor]]))</f>
        <v>Ana Martinez</v>
      </c>
      <c r="K87" t="str">
        <f>PROPER(TRIM(ventas_raw_200[[#This Row],[Producto]]))</f>
        <v>Mouse Inalámbrico Ergonómico</v>
      </c>
      <c r="L87">
        <f>LEN(ventas_raw_200[[#This Row],[ID_Transaccion]])</f>
        <v>8</v>
      </c>
      <c r="M87" t="str">
        <f>TRIM(ventas_raw_200[[#This Row],[ID_Transaccion]])</f>
        <v>TRX-1086</v>
      </c>
      <c r="N87">
        <f>LEN(ventas_raw_200[[#This Row],[ID_Transaccion_Limpio]])</f>
        <v>8</v>
      </c>
      <c r="O87" s="2">
        <f>IFERROR(IF(ventas_raw_200[[#This Row],[Cantidad]]&lt;0,1,ventas_raw_200[[#This Row],[Cantidad]]),1)</f>
        <v>20</v>
      </c>
      <c r="P87" t="str">
        <f>IFERROR(_xlfn.XLOOKUP(K87,maestro_productos_15!$B$2:$B$16,maestro_productos_15!$C$2:$C$16),"No encontrada")</f>
        <v>Tecnología</v>
      </c>
      <c r="Q87" t="str">
        <f>IFERROR(_xlfn.XLOOKUP(K87,maestro_productos_15!$B$2:$B$16,maestro_productos_15!$D$2:$D$16),"No encontrada")</f>
        <v>TechImport S.R.L.</v>
      </c>
      <c r="R87">
        <f>ventas_raw_200[[#This Row],[Precio_Unitario]]*ventas_raw_200[[#This Row],[Cantidad_Auditada]]</f>
        <v>300000</v>
      </c>
      <c r="S87">
        <f>ventas_raw_200[[#This Row],[Costo_Unitario]]*ventas_raw_200[[#This Row],[Cantidad_Auditada]]</f>
        <v>190000</v>
      </c>
      <c r="T87">
        <f>ventas_raw_200[[#This Row],[Total_Venta]]-ventas_raw_200[[#This Row],[Total_Costo]]</f>
        <v>110000</v>
      </c>
      <c r="U87" s="3" cm="1">
        <f t="array" ref="U87">_xlfn.IFS(AND(G87&gt;25000,I87="Corrientes"),O87*G87*0.06,G87&gt;25000,O87*G87*0.04,TRUE,O87*G87*0.02)</f>
        <v>6000</v>
      </c>
    </row>
    <row r="88" spans="1:21" x14ac:dyDescent="0.25">
      <c r="A88" t="s">
        <v>136</v>
      </c>
      <c r="B88" s="1">
        <v>46051</v>
      </c>
      <c r="C88" t="s">
        <v>23</v>
      </c>
      <c r="D88" t="s">
        <v>30</v>
      </c>
      <c r="E88" t="s">
        <v>64</v>
      </c>
      <c r="F88">
        <v>1</v>
      </c>
      <c r="G88">
        <v>18500</v>
      </c>
      <c r="H88">
        <v>12500</v>
      </c>
      <c r="I88" t="str">
        <f>PROPER(TRIM(ventas_raw_200[[#This Row],[Sucursal]]))</f>
        <v>Corrientes</v>
      </c>
      <c r="J88" t="str">
        <f>PROPER(TRIM(ventas_raw_200[[#This Row],[Vendedor]]))</f>
        <v>Maria Gomez</v>
      </c>
      <c r="K88" t="str">
        <f>PROPER(TRIM(ventas_raw_200[[#This Row],[Producto]]))</f>
        <v>Café En Grano Intenso 1Kg</v>
      </c>
      <c r="L88">
        <f>LEN(ventas_raw_200[[#This Row],[ID_Transaccion]])</f>
        <v>8</v>
      </c>
      <c r="M88" t="str">
        <f>TRIM(ventas_raw_200[[#This Row],[ID_Transaccion]])</f>
        <v>TRX-1087</v>
      </c>
      <c r="N88">
        <f>LEN(ventas_raw_200[[#This Row],[ID_Transaccion_Limpio]])</f>
        <v>8</v>
      </c>
      <c r="O88" s="2">
        <f>IFERROR(IF(ventas_raw_200[[#This Row],[Cantidad]]&lt;0,1,ventas_raw_200[[#This Row],[Cantidad]]),1)</f>
        <v>1</v>
      </c>
      <c r="P88" t="str">
        <f>IFERROR(_xlfn.XLOOKUP(K88,maestro_productos_15!$B$2:$B$16,maestro_productos_15!$C$2:$C$16),"No encontrada")</f>
        <v>Alimentos</v>
      </c>
      <c r="Q88" t="str">
        <f>IFERROR(_xlfn.XLOOKUP(K88,maestro_productos_15!$B$2:$B$16,maestro_productos_15!$D$2:$D$16),"No encontrada")</f>
        <v>Distribuidora del Nordeste</v>
      </c>
      <c r="R88">
        <f>ventas_raw_200[[#This Row],[Precio_Unitario]]*ventas_raw_200[[#This Row],[Cantidad_Auditada]]</f>
        <v>18500</v>
      </c>
      <c r="S88">
        <f>ventas_raw_200[[#This Row],[Costo_Unitario]]*ventas_raw_200[[#This Row],[Cantidad_Auditada]]</f>
        <v>12500</v>
      </c>
      <c r="T88">
        <f>ventas_raw_200[[#This Row],[Total_Venta]]-ventas_raw_200[[#This Row],[Total_Costo]]</f>
        <v>6000</v>
      </c>
      <c r="U88" s="3" cm="1">
        <f t="array" ref="U88">_xlfn.IFS(AND(G88&gt;25000,I88="Corrientes"),O88*G88*0.06,G88&gt;25000,O88*G88*0.04,TRUE,O88*G88*0.02)</f>
        <v>370</v>
      </c>
    </row>
    <row r="89" spans="1:21" x14ac:dyDescent="0.25">
      <c r="A89" t="s">
        <v>137</v>
      </c>
      <c r="B89" s="1">
        <v>46084</v>
      </c>
      <c r="C89" t="s">
        <v>38</v>
      </c>
      <c r="D89" t="s">
        <v>33</v>
      </c>
      <c r="E89" t="s">
        <v>21</v>
      </c>
      <c r="F89">
        <v>23</v>
      </c>
      <c r="G89">
        <v>3800</v>
      </c>
      <c r="H89">
        <v>2500</v>
      </c>
      <c r="I89" t="str">
        <f>PROPER(TRIM(ventas_raw_200[[#This Row],[Sucursal]]))</f>
        <v>Posadas</v>
      </c>
      <c r="J89" t="str">
        <f>PROPER(TRIM(ventas_raw_200[[#This Row],[Vendedor]]))</f>
        <v>Juan Perez</v>
      </c>
      <c r="K89" t="str">
        <f>PROPER(TRIM(ventas_raw_200[[#This Row],[Producto]]))</f>
        <v>Yerba Mate Premium 1Kg</v>
      </c>
      <c r="L89">
        <f>LEN(ventas_raw_200[[#This Row],[ID_Transaccion]])</f>
        <v>8</v>
      </c>
      <c r="M89" t="str">
        <f>TRIM(ventas_raw_200[[#This Row],[ID_Transaccion]])</f>
        <v>TRX-1088</v>
      </c>
      <c r="N89">
        <f>LEN(ventas_raw_200[[#This Row],[ID_Transaccion_Limpio]])</f>
        <v>8</v>
      </c>
      <c r="O89" s="2">
        <f>IFERROR(IF(ventas_raw_200[[#This Row],[Cantidad]]&lt;0,1,ventas_raw_200[[#This Row],[Cantidad]]),1)</f>
        <v>23</v>
      </c>
      <c r="P89" t="str">
        <f>IFERROR(_xlfn.XLOOKUP(K89,maestro_productos_15!$B$2:$B$16,maestro_productos_15!$C$2:$C$16),"No encontrada")</f>
        <v>Alimentos</v>
      </c>
      <c r="Q89" t="str">
        <f>IFERROR(_xlfn.XLOOKUP(K89,maestro_productos_15!$B$2:$B$16,maestro_productos_15!$D$2:$D$16),"No encontrada")</f>
        <v>Cooperativa Neike</v>
      </c>
      <c r="R89">
        <f>ventas_raw_200[[#This Row],[Precio_Unitario]]*ventas_raw_200[[#This Row],[Cantidad_Auditada]]</f>
        <v>87400</v>
      </c>
      <c r="S89">
        <f>ventas_raw_200[[#This Row],[Costo_Unitario]]*ventas_raw_200[[#This Row],[Cantidad_Auditada]]</f>
        <v>57500</v>
      </c>
      <c r="T89">
        <f>ventas_raw_200[[#This Row],[Total_Venta]]-ventas_raw_200[[#This Row],[Total_Costo]]</f>
        <v>29900</v>
      </c>
      <c r="U89" s="3" cm="1">
        <f t="array" ref="U89">_xlfn.IFS(AND(G89&gt;25000,I89="Corrientes"),O89*G89*0.06,G89&gt;25000,O89*G89*0.04,TRUE,O89*G89*0.02)</f>
        <v>1748</v>
      </c>
    </row>
    <row r="90" spans="1:21" x14ac:dyDescent="0.25">
      <c r="A90" t="s">
        <v>138</v>
      </c>
      <c r="B90" s="1">
        <v>46046</v>
      </c>
      <c r="C90" t="s">
        <v>25</v>
      </c>
      <c r="D90" t="s">
        <v>10</v>
      </c>
      <c r="E90" t="s">
        <v>43</v>
      </c>
      <c r="F90">
        <v>4</v>
      </c>
      <c r="G90">
        <v>6200</v>
      </c>
      <c r="H90">
        <v>3800</v>
      </c>
      <c r="I90" t="str">
        <f>PROPER(TRIM(ventas_raw_200[[#This Row],[Sucursal]]))</f>
        <v>Formosa</v>
      </c>
      <c r="J90" t="str">
        <f>PROPER(TRIM(ventas_raw_200[[#This Row],[Vendedor]]))</f>
        <v>Ana Martinez</v>
      </c>
      <c r="K90" t="str">
        <f>PROPER(TRIM(ventas_raw_200[[#This Row],[Producto]]))</f>
        <v>Shampoo Canino Neutro 500Ml</v>
      </c>
      <c r="L90">
        <f>LEN(ventas_raw_200[[#This Row],[ID_Transaccion]])</f>
        <v>8</v>
      </c>
      <c r="M90" t="str">
        <f>TRIM(ventas_raw_200[[#This Row],[ID_Transaccion]])</f>
        <v>TRX-1089</v>
      </c>
      <c r="N90">
        <f>LEN(ventas_raw_200[[#This Row],[ID_Transaccion_Limpio]])</f>
        <v>8</v>
      </c>
      <c r="O90" s="2">
        <f>IFERROR(IF(ventas_raw_200[[#This Row],[Cantidad]]&lt;0,1,ventas_raw_200[[#This Row],[Cantidad]]),1)</f>
        <v>4</v>
      </c>
      <c r="P90" t="str">
        <f>IFERROR(_xlfn.XLOOKUP(K90,maestro_productos_15!$B$2:$B$16,maestro_productos_15!$C$2:$C$16),"No encontrada")</f>
        <v>Mascotas</v>
      </c>
      <c r="Q90" t="str">
        <f>IFERROR(_xlfn.XLOOKUP(K90,maestro_productos_15!$B$2:$B$16,maestro_productos_15!$D$2:$D$16),"No encontrada")</f>
        <v>PetStyle Litoral</v>
      </c>
      <c r="R90">
        <f>ventas_raw_200[[#This Row],[Precio_Unitario]]*ventas_raw_200[[#This Row],[Cantidad_Auditada]]</f>
        <v>24800</v>
      </c>
      <c r="S90">
        <f>ventas_raw_200[[#This Row],[Costo_Unitario]]*ventas_raw_200[[#This Row],[Cantidad_Auditada]]</f>
        <v>15200</v>
      </c>
      <c r="T90">
        <f>ventas_raw_200[[#This Row],[Total_Venta]]-ventas_raw_200[[#This Row],[Total_Costo]]</f>
        <v>9600</v>
      </c>
      <c r="U90" s="3" cm="1">
        <f t="array" ref="U90">_xlfn.IFS(AND(G90&gt;25000,I90="Corrientes"),O90*G90*0.06,G90&gt;25000,O90*G90*0.04,TRUE,O90*G90*0.02)</f>
        <v>496</v>
      </c>
    </row>
    <row r="91" spans="1:21" x14ac:dyDescent="0.25">
      <c r="A91" t="s">
        <v>139</v>
      </c>
      <c r="B91" s="1">
        <v>46085</v>
      </c>
      <c r="C91" t="s">
        <v>56</v>
      </c>
      <c r="D91" t="s">
        <v>10</v>
      </c>
      <c r="E91" t="s">
        <v>140</v>
      </c>
      <c r="F91">
        <v>17</v>
      </c>
      <c r="G91">
        <v>32000</v>
      </c>
      <c r="H91">
        <v>21000</v>
      </c>
      <c r="I91" t="str">
        <f>PROPER(TRIM(ventas_raw_200[[#This Row],[Sucursal]]))</f>
        <v>Resistencia</v>
      </c>
      <c r="J91" t="str">
        <f>PROPER(TRIM(ventas_raw_200[[#This Row],[Vendedor]]))</f>
        <v>Ana Martinez</v>
      </c>
      <c r="K91" t="str">
        <f>PROPER(TRIM(ventas_raw_200[[#This Row],[Producto]]))</f>
        <v>Termo Acero Inoxidable 1.3L</v>
      </c>
      <c r="L91">
        <f>LEN(ventas_raw_200[[#This Row],[ID_Transaccion]])</f>
        <v>8</v>
      </c>
      <c r="M91" t="str">
        <f>TRIM(ventas_raw_200[[#This Row],[ID_Transaccion]])</f>
        <v>TRX-1090</v>
      </c>
      <c r="N91">
        <f>LEN(ventas_raw_200[[#This Row],[ID_Transaccion_Limpio]])</f>
        <v>8</v>
      </c>
      <c r="O91" s="2">
        <f>IFERROR(IF(ventas_raw_200[[#This Row],[Cantidad]]&lt;0,1,ventas_raw_200[[#This Row],[Cantidad]]),1)</f>
        <v>17</v>
      </c>
      <c r="P91" t="str">
        <f>IFERROR(_xlfn.XLOOKUP(K91,maestro_productos_15!$B$2:$B$16,maestro_productos_15!$C$2:$C$16),"No encontrada")</f>
        <v>Bazar</v>
      </c>
      <c r="Q91" t="str">
        <f>IFERROR(_xlfn.XLOOKUP(K91,maestro_productos_15!$B$2:$B$16,maestro_productos_15!$D$2:$D$16),"No encontrada")</f>
        <v>Distribuidora del Nordeste</v>
      </c>
      <c r="R91">
        <f>ventas_raw_200[[#This Row],[Precio_Unitario]]*ventas_raw_200[[#This Row],[Cantidad_Auditada]]</f>
        <v>544000</v>
      </c>
      <c r="S91">
        <f>ventas_raw_200[[#This Row],[Costo_Unitario]]*ventas_raw_200[[#This Row],[Cantidad_Auditada]]</f>
        <v>357000</v>
      </c>
      <c r="T91">
        <f>ventas_raw_200[[#This Row],[Total_Venta]]-ventas_raw_200[[#This Row],[Total_Costo]]</f>
        <v>187000</v>
      </c>
      <c r="U91" s="3" cm="1">
        <f t="array" ref="U91">_xlfn.IFS(AND(G91&gt;25000,I91="Corrientes"),O91*G91*0.06,G91&gt;25000,O91*G91*0.04,TRUE,O91*G91*0.02)</f>
        <v>21760</v>
      </c>
    </row>
    <row r="92" spans="1:21" x14ac:dyDescent="0.25">
      <c r="A92" t="s">
        <v>141</v>
      </c>
      <c r="B92" s="1">
        <v>46086</v>
      </c>
      <c r="C92" t="s">
        <v>9</v>
      </c>
      <c r="D92" t="s">
        <v>69</v>
      </c>
      <c r="E92" t="s">
        <v>74</v>
      </c>
      <c r="F92">
        <v>21</v>
      </c>
      <c r="G92">
        <v>28000</v>
      </c>
      <c r="H92">
        <v>18000</v>
      </c>
      <c r="I92" t="str">
        <f>PROPER(TRIM(ventas_raw_200[[#This Row],[Sucursal]]))</f>
        <v>Corrientes</v>
      </c>
      <c r="J92" t="str">
        <f>PROPER(TRIM(ventas_raw_200[[#This Row],[Vendedor]]))</f>
        <v>Carlos Ruiz</v>
      </c>
      <c r="K92" t="str">
        <f>PROPER(TRIM(ventas_raw_200[[#This Row],[Producto]]))</f>
        <v>Auriculares Bluetooth Pro</v>
      </c>
      <c r="L92">
        <f>LEN(ventas_raw_200[[#This Row],[ID_Transaccion]])</f>
        <v>8</v>
      </c>
      <c r="M92" t="str">
        <f>TRIM(ventas_raw_200[[#This Row],[ID_Transaccion]])</f>
        <v>TRX-1091</v>
      </c>
      <c r="N92">
        <f>LEN(ventas_raw_200[[#This Row],[ID_Transaccion_Limpio]])</f>
        <v>8</v>
      </c>
      <c r="O92" s="2">
        <f>IFERROR(IF(ventas_raw_200[[#This Row],[Cantidad]]&lt;0,1,ventas_raw_200[[#This Row],[Cantidad]]),1)</f>
        <v>21</v>
      </c>
      <c r="P92" t="str">
        <f>IFERROR(_xlfn.XLOOKUP(K92,maestro_productos_15!$B$2:$B$16,maestro_productos_15!$C$2:$C$16),"No encontrada")</f>
        <v>Tecnología</v>
      </c>
      <c r="Q92" t="str">
        <f>IFERROR(_xlfn.XLOOKUP(K92,maestro_productos_15!$B$2:$B$16,maestro_productos_15!$D$2:$D$16),"No encontrada")</f>
        <v>TechImport S.R.L.</v>
      </c>
      <c r="R92">
        <f>ventas_raw_200[[#This Row],[Precio_Unitario]]*ventas_raw_200[[#This Row],[Cantidad_Auditada]]</f>
        <v>588000</v>
      </c>
      <c r="S92">
        <f>ventas_raw_200[[#This Row],[Costo_Unitario]]*ventas_raw_200[[#This Row],[Cantidad_Auditada]]</f>
        <v>378000</v>
      </c>
      <c r="T92">
        <f>ventas_raw_200[[#This Row],[Total_Venta]]-ventas_raw_200[[#This Row],[Total_Costo]]</f>
        <v>210000</v>
      </c>
      <c r="U92" s="3" cm="1">
        <f t="array" ref="U92">_xlfn.IFS(AND(G92&gt;25000,I92="Corrientes"),O92*G92*0.06,G92&gt;25000,O92*G92*0.04,TRUE,O92*G92*0.02)</f>
        <v>35280</v>
      </c>
    </row>
    <row r="93" spans="1:21" x14ac:dyDescent="0.25">
      <c r="A93" t="s">
        <v>142</v>
      </c>
      <c r="B93" s="1">
        <v>46034</v>
      </c>
      <c r="C93" t="s">
        <v>38</v>
      </c>
      <c r="D93" t="s">
        <v>49</v>
      </c>
      <c r="E93" t="s">
        <v>74</v>
      </c>
      <c r="F93">
        <v>9</v>
      </c>
      <c r="G93">
        <v>28000</v>
      </c>
      <c r="H93">
        <v>18000</v>
      </c>
      <c r="I93" t="str">
        <f>PROPER(TRIM(ventas_raw_200[[#This Row],[Sucursal]]))</f>
        <v>Posadas</v>
      </c>
      <c r="J93" t="str">
        <f>PROPER(TRIM(ventas_raw_200[[#This Row],[Vendedor]]))</f>
        <v>Carlos Ruiz</v>
      </c>
      <c r="K93" t="str">
        <f>PROPER(TRIM(ventas_raw_200[[#This Row],[Producto]]))</f>
        <v>Auriculares Bluetooth Pro</v>
      </c>
      <c r="L93">
        <f>LEN(ventas_raw_200[[#This Row],[ID_Transaccion]])</f>
        <v>8</v>
      </c>
      <c r="M93" t="str">
        <f>TRIM(ventas_raw_200[[#This Row],[ID_Transaccion]])</f>
        <v>TRX-1092</v>
      </c>
      <c r="N93">
        <f>LEN(ventas_raw_200[[#This Row],[ID_Transaccion_Limpio]])</f>
        <v>8</v>
      </c>
      <c r="O93" s="2">
        <f>IFERROR(IF(ventas_raw_200[[#This Row],[Cantidad]]&lt;0,1,ventas_raw_200[[#This Row],[Cantidad]]),1)</f>
        <v>9</v>
      </c>
      <c r="P93" t="str">
        <f>IFERROR(_xlfn.XLOOKUP(K93,maestro_productos_15!$B$2:$B$16,maestro_productos_15!$C$2:$C$16),"No encontrada")</f>
        <v>Tecnología</v>
      </c>
      <c r="Q93" t="str">
        <f>IFERROR(_xlfn.XLOOKUP(K93,maestro_productos_15!$B$2:$B$16,maestro_productos_15!$D$2:$D$16),"No encontrada")</f>
        <v>TechImport S.R.L.</v>
      </c>
      <c r="R93">
        <f>ventas_raw_200[[#This Row],[Precio_Unitario]]*ventas_raw_200[[#This Row],[Cantidad_Auditada]]</f>
        <v>252000</v>
      </c>
      <c r="S93">
        <f>ventas_raw_200[[#This Row],[Costo_Unitario]]*ventas_raw_200[[#This Row],[Cantidad_Auditada]]</f>
        <v>162000</v>
      </c>
      <c r="T93">
        <f>ventas_raw_200[[#This Row],[Total_Venta]]-ventas_raw_200[[#This Row],[Total_Costo]]</f>
        <v>90000</v>
      </c>
      <c r="U93" s="3" cm="1">
        <f t="array" ref="U93">_xlfn.IFS(AND(G93&gt;25000,I93="Corrientes"),O93*G93*0.06,G93&gt;25000,O93*G93*0.04,TRUE,O93*G93*0.02)</f>
        <v>10080</v>
      </c>
    </row>
    <row r="94" spans="1:21" x14ac:dyDescent="0.25">
      <c r="A94" t="s">
        <v>143</v>
      </c>
      <c r="B94" s="1">
        <v>46055</v>
      </c>
      <c r="C94" t="s">
        <v>56</v>
      </c>
      <c r="D94" t="s">
        <v>20</v>
      </c>
      <c r="E94" t="s">
        <v>72</v>
      </c>
      <c r="F94">
        <v>9</v>
      </c>
      <c r="G94">
        <v>45000</v>
      </c>
      <c r="H94">
        <v>30000</v>
      </c>
      <c r="I94" t="str">
        <f>PROPER(TRIM(ventas_raw_200[[#This Row],[Sucursal]]))</f>
        <v>Resistencia</v>
      </c>
      <c r="J94" t="str">
        <f>PROPER(TRIM(ventas_raw_200[[#This Row],[Vendedor]]))</f>
        <v>Ana Martinez</v>
      </c>
      <c r="K94" t="str">
        <f>PROPER(TRIM(ventas_raw_200[[#This Row],[Producto]]))</f>
        <v>Teclado Mecánico Rgb</v>
      </c>
      <c r="L94">
        <f>LEN(ventas_raw_200[[#This Row],[ID_Transaccion]])</f>
        <v>8</v>
      </c>
      <c r="M94" t="str">
        <f>TRIM(ventas_raw_200[[#This Row],[ID_Transaccion]])</f>
        <v>TRX-1093</v>
      </c>
      <c r="N94">
        <f>LEN(ventas_raw_200[[#This Row],[ID_Transaccion_Limpio]])</f>
        <v>8</v>
      </c>
      <c r="O94" s="2">
        <f>IFERROR(IF(ventas_raw_200[[#This Row],[Cantidad]]&lt;0,1,ventas_raw_200[[#This Row],[Cantidad]]),1)</f>
        <v>9</v>
      </c>
      <c r="P94" t="str">
        <f>IFERROR(_xlfn.XLOOKUP(K94,maestro_productos_15!$B$2:$B$16,maestro_productos_15!$C$2:$C$16),"No encontrada")</f>
        <v>Tecnología</v>
      </c>
      <c r="Q94" t="str">
        <f>IFERROR(_xlfn.XLOOKUP(K94,maestro_productos_15!$B$2:$B$16,maestro_productos_15!$D$2:$D$16),"No encontrada")</f>
        <v>TechImport S.R.L.</v>
      </c>
      <c r="R94">
        <f>ventas_raw_200[[#This Row],[Precio_Unitario]]*ventas_raw_200[[#This Row],[Cantidad_Auditada]]</f>
        <v>405000</v>
      </c>
      <c r="S94">
        <f>ventas_raw_200[[#This Row],[Costo_Unitario]]*ventas_raw_200[[#This Row],[Cantidad_Auditada]]</f>
        <v>270000</v>
      </c>
      <c r="T94">
        <f>ventas_raw_200[[#This Row],[Total_Venta]]-ventas_raw_200[[#This Row],[Total_Costo]]</f>
        <v>135000</v>
      </c>
      <c r="U94" s="3" cm="1">
        <f t="array" ref="U94">_xlfn.IFS(AND(G94&gt;25000,I94="Corrientes"),O94*G94*0.06,G94&gt;25000,O94*G94*0.04,TRUE,O94*G94*0.02)</f>
        <v>16200</v>
      </c>
    </row>
    <row r="95" spans="1:21" x14ac:dyDescent="0.25">
      <c r="A95" t="s">
        <v>144</v>
      </c>
      <c r="B95" s="1">
        <v>46097</v>
      </c>
      <c r="C95" t="s">
        <v>56</v>
      </c>
      <c r="D95" t="s">
        <v>33</v>
      </c>
      <c r="E95" t="s">
        <v>64</v>
      </c>
      <c r="F95">
        <v>19</v>
      </c>
      <c r="G95">
        <v>18500</v>
      </c>
      <c r="H95">
        <v>12500</v>
      </c>
      <c r="I95" t="str">
        <f>PROPER(TRIM(ventas_raw_200[[#This Row],[Sucursal]]))</f>
        <v>Resistencia</v>
      </c>
      <c r="J95" t="str">
        <f>PROPER(TRIM(ventas_raw_200[[#This Row],[Vendedor]]))</f>
        <v>Juan Perez</v>
      </c>
      <c r="K95" t="str">
        <f>PROPER(TRIM(ventas_raw_200[[#This Row],[Producto]]))</f>
        <v>Café En Grano Intenso 1Kg</v>
      </c>
      <c r="L95">
        <f>LEN(ventas_raw_200[[#This Row],[ID_Transaccion]])</f>
        <v>8</v>
      </c>
      <c r="M95" t="str">
        <f>TRIM(ventas_raw_200[[#This Row],[ID_Transaccion]])</f>
        <v>TRX-1094</v>
      </c>
      <c r="N95">
        <f>LEN(ventas_raw_200[[#This Row],[ID_Transaccion_Limpio]])</f>
        <v>8</v>
      </c>
      <c r="O95" s="2">
        <f>IFERROR(IF(ventas_raw_200[[#This Row],[Cantidad]]&lt;0,1,ventas_raw_200[[#This Row],[Cantidad]]),1)</f>
        <v>19</v>
      </c>
      <c r="P95" t="str">
        <f>IFERROR(_xlfn.XLOOKUP(K95,maestro_productos_15!$B$2:$B$16,maestro_productos_15!$C$2:$C$16),"No encontrada")</f>
        <v>Alimentos</v>
      </c>
      <c r="Q95" t="str">
        <f>IFERROR(_xlfn.XLOOKUP(K95,maestro_productos_15!$B$2:$B$16,maestro_productos_15!$D$2:$D$16),"No encontrada")</f>
        <v>Distribuidora del Nordeste</v>
      </c>
      <c r="R95">
        <f>ventas_raw_200[[#This Row],[Precio_Unitario]]*ventas_raw_200[[#This Row],[Cantidad_Auditada]]</f>
        <v>351500</v>
      </c>
      <c r="S95">
        <f>ventas_raw_200[[#This Row],[Costo_Unitario]]*ventas_raw_200[[#This Row],[Cantidad_Auditada]]</f>
        <v>237500</v>
      </c>
      <c r="T95">
        <f>ventas_raw_200[[#This Row],[Total_Venta]]-ventas_raw_200[[#This Row],[Total_Costo]]</f>
        <v>114000</v>
      </c>
      <c r="U95" s="3" cm="1">
        <f t="array" ref="U95">_xlfn.IFS(AND(G95&gt;25000,I95="Corrientes"),O95*G95*0.06,G95&gt;25000,O95*G95*0.04,TRUE,O95*G95*0.02)</f>
        <v>7030</v>
      </c>
    </row>
    <row r="96" spans="1:21" x14ac:dyDescent="0.25">
      <c r="A96" t="s">
        <v>145</v>
      </c>
      <c r="B96" s="1">
        <v>46065</v>
      </c>
      <c r="C96" t="s">
        <v>19</v>
      </c>
      <c r="D96" t="s">
        <v>33</v>
      </c>
      <c r="E96" t="s">
        <v>17</v>
      </c>
      <c r="F96">
        <v>12</v>
      </c>
      <c r="G96">
        <v>15000</v>
      </c>
      <c r="H96">
        <v>9500</v>
      </c>
      <c r="I96" t="str">
        <f>PROPER(TRIM(ventas_raw_200[[#This Row],[Sucursal]]))</f>
        <v>Resistencia</v>
      </c>
      <c r="J96" t="str">
        <f>PROPER(TRIM(ventas_raw_200[[#This Row],[Vendedor]]))</f>
        <v>Juan Perez</v>
      </c>
      <c r="K96" t="str">
        <f>PROPER(TRIM(ventas_raw_200[[#This Row],[Producto]]))</f>
        <v>Mouse Inalámbrico Ergonómico</v>
      </c>
      <c r="L96">
        <f>LEN(ventas_raw_200[[#This Row],[ID_Transaccion]])</f>
        <v>8</v>
      </c>
      <c r="M96" t="str">
        <f>TRIM(ventas_raw_200[[#This Row],[ID_Transaccion]])</f>
        <v>TRX-1095</v>
      </c>
      <c r="N96">
        <f>LEN(ventas_raw_200[[#This Row],[ID_Transaccion_Limpio]])</f>
        <v>8</v>
      </c>
      <c r="O96" s="2">
        <f>IFERROR(IF(ventas_raw_200[[#This Row],[Cantidad]]&lt;0,1,ventas_raw_200[[#This Row],[Cantidad]]),1)</f>
        <v>12</v>
      </c>
      <c r="P96" t="str">
        <f>IFERROR(_xlfn.XLOOKUP(K96,maestro_productos_15!$B$2:$B$16,maestro_productos_15!$C$2:$C$16),"No encontrada")</f>
        <v>Tecnología</v>
      </c>
      <c r="Q96" t="str">
        <f>IFERROR(_xlfn.XLOOKUP(K96,maestro_productos_15!$B$2:$B$16,maestro_productos_15!$D$2:$D$16),"No encontrada")</f>
        <v>TechImport S.R.L.</v>
      </c>
      <c r="R96">
        <f>ventas_raw_200[[#This Row],[Precio_Unitario]]*ventas_raw_200[[#This Row],[Cantidad_Auditada]]</f>
        <v>180000</v>
      </c>
      <c r="S96">
        <f>ventas_raw_200[[#This Row],[Costo_Unitario]]*ventas_raw_200[[#This Row],[Cantidad_Auditada]]</f>
        <v>114000</v>
      </c>
      <c r="T96">
        <f>ventas_raw_200[[#This Row],[Total_Venta]]-ventas_raw_200[[#This Row],[Total_Costo]]</f>
        <v>66000</v>
      </c>
      <c r="U96" s="3" cm="1">
        <f t="array" ref="U96">_xlfn.IFS(AND(G96&gt;25000,I96="Corrientes"),O96*G96*0.06,G96&gt;25000,O96*G96*0.04,TRUE,O96*G96*0.02)</f>
        <v>3600</v>
      </c>
    </row>
    <row r="97" spans="1:21" x14ac:dyDescent="0.25">
      <c r="A97" t="s">
        <v>146</v>
      </c>
      <c r="B97" s="1">
        <v>46031</v>
      </c>
      <c r="C97" t="s">
        <v>19</v>
      </c>
      <c r="D97" t="s">
        <v>49</v>
      </c>
      <c r="E97" t="s">
        <v>124</v>
      </c>
      <c r="F97">
        <v>-5</v>
      </c>
      <c r="G97">
        <v>19500</v>
      </c>
      <c r="H97">
        <v>12000</v>
      </c>
      <c r="I97" t="str">
        <f>PROPER(TRIM(ventas_raw_200[[#This Row],[Sucursal]]))</f>
        <v>Resistencia</v>
      </c>
      <c r="J97" t="str">
        <f>PROPER(TRIM(ventas_raw_200[[#This Row],[Vendedor]]))</f>
        <v>Carlos Ruiz</v>
      </c>
      <c r="K97" t="str">
        <f>PROPER(TRIM(ventas_raw_200[[#This Row],[Producto]]))</f>
        <v>Soporte Regulable Notebook</v>
      </c>
      <c r="L97">
        <f>LEN(ventas_raw_200[[#This Row],[ID_Transaccion]])</f>
        <v>8</v>
      </c>
      <c r="M97" t="str">
        <f>TRIM(ventas_raw_200[[#This Row],[ID_Transaccion]])</f>
        <v>TRX-1096</v>
      </c>
      <c r="N97">
        <f>LEN(ventas_raw_200[[#This Row],[ID_Transaccion_Limpio]])</f>
        <v>8</v>
      </c>
      <c r="O97" s="2">
        <f>IFERROR(IF(ventas_raw_200[[#This Row],[Cantidad]]&lt;0,1,ventas_raw_200[[#This Row],[Cantidad]]),1)</f>
        <v>1</v>
      </c>
      <c r="P97" t="str">
        <f>IFERROR(_xlfn.XLOOKUP(K97,maestro_productos_15!$B$2:$B$16,maestro_productos_15!$C$2:$C$16),"No encontrada")</f>
        <v>Tecnología</v>
      </c>
      <c r="Q97" t="str">
        <f>IFERROR(_xlfn.XLOOKUP(K97,maestro_productos_15!$B$2:$B$16,maestro_productos_15!$D$2:$D$16),"No encontrada")</f>
        <v>TechImport S.R.L.</v>
      </c>
      <c r="R97">
        <f>ventas_raw_200[[#This Row],[Precio_Unitario]]*ventas_raw_200[[#This Row],[Cantidad_Auditada]]</f>
        <v>19500</v>
      </c>
      <c r="S97">
        <f>ventas_raw_200[[#This Row],[Costo_Unitario]]*ventas_raw_200[[#This Row],[Cantidad_Auditada]]</f>
        <v>12000</v>
      </c>
      <c r="T97">
        <f>ventas_raw_200[[#This Row],[Total_Venta]]-ventas_raw_200[[#This Row],[Total_Costo]]</f>
        <v>7500</v>
      </c>
      <c r="U97" s="3" cm="1">
        <f t="array" ref="U97">_xlfn.IFS(AND(G97&gt;25000,I97="Corrientes"),O97*G97*0.06,G97&gt;25000,O97*G97*0.04,TRUE,O97*G97*0.02)</f>
        <v>390</v>
      </c>
    </row>
    <row r="98" spans="1:21" x14ac:dyDescent="0.25">
      <c r="A98" t="s">
        <v>147</v>
      </c>
      <c r="B98" s="1">
        <v>46043</v>
      </c>
      <c r="C98" t="s">
        <v>13</v>
      </c>
      <c r="D98" t="s">
        <v>20</v>
      </c>
      <c r="E98" t="s">
        <v>34</v>
      </c>
      <c r="F98">
        <v>16</v>
      </c>
      <c r="G98">
        <v>22000</v>
      </c>
      <c r="H98">
        <v>14000</v>
      </c>
      <c r="I98" t="str">
        <f>PROPER(TRIM(ventas_raw_200[[#This Row],[Sucursal]]))</f>
        <v>Posadas</v>
      </c>
      <c r="J98" t="str">
        <f>PROPER(TRIM(ventas_raw_200[[#This Row],[Vendedor]]))</f>
        <v>Ana Martinez</v>
      </c>
      <c r="K98" t="str">
        <f>PROPER(TRIM(ventas_raw_200[[#This Row],[Producto]]))</f>
        <v>Cargador Rápido Usb-C 65W</v>
      </c>
      <c r="L98">
        <f>LEN(ventas_raw_200[[#This Row],[ID_Transaccion]])</f>
        <v>8</v>
      </c>
      <c r="M98" t="str">
        <f>TRIM(ventas_raw_200[[#This Row],[ID_Transaccion]])</f>
        <v>TRX-1097</v>
      </c>
      <c r="N98">
        <f>LEN(ventas_raw_200[[#This Row],[ID_Transaccion_Limpio]])</f>
        <v>8</v>
      </c>
      <c r="O98" s="2">
        <f>IFERROR(IF(ventas_raw_200[[#This Row],[Cantidad]]&lt;0,1,ventas_raw_200[[#This Row],[Cantidad]]),1)</f>
        <v>16</v>
      </c>
      <c r="P98" t="str">
        <f>IFERROR(_xlfn.XLOOKUP(K98,maestro_productos_15!$B$2:$B$16,maestro_productos_15!$C$2:$C$16),"No encontrada")</f>
        <v>Tecnología</v>
      </c>
      <c r="Q98" t="str">
        <f>IFERROR(_xlfn.XLOOKUP(K98,maestro_productos_15!$B$2:$B$16,maestro_productos_15!$D$2:$D$16),"No encontrada")</f>
        <v>TechImport S.R.L.</v>
      </c>
      <c r="R98">
        <f>ventas_raw_200[[#This Row],[Precio_Unitario]]*ventas_raw_200[[#This Row],[Cantidad_Auditada]]</f>
        <v>352000</v>
      </c>
      <c r="S98">
        <f>ventas_raw_200[[#This Row],[Costo_Unitario]]*ventas_raw_200[[#This Row],[Cantidad_Auditada]]</f>
        <v>224000</v>
      </c>
      <c r="T98">
        <f>ventas_raw_200[[#This Row],[Total_Venta]]-ventas_raw_200[[#This Row],[Total_Costo]]</f>
        <v>128000</v>
      </c>
      <c r="U98" s="3" cm="1">
        <f t="array" ref="U98">_xlfn.IFS(AND(G98&gt;25000,I98="Corrientes"),O98*G98*0.06,G98&gt;25000,O98*G98*0.04,TRUE,O98*G98*0.02)</f>
        <v>7040</v>
      </c>
    </row>
    <row r="99" spans="1:21" x14ac:dyDescent="0.25">
      <c r="A99" t="s">
        <v>148</v>
      </c>
      <c r="B99" s="1">
        <v>46101</v>
      </c>
      <c r="C99" t="s">
        <v>23</v>
      </c>
      <c r="D99" t="s">
        <v>69</v>
      </c>
      <c r="E99" t="s">
        <v>64</v>
      </c>
      <c r="F99">
        <v>10</v>
      </c>
      <c r="G99">
        <v>18500</v>
      </c>
      <c r="H99">
        <v>12500</v>
      </c>
      <c r="I99" t="str">
        <f>PROPER(TRIM(ventas_raw_200[[#This Row],[Sucursal]]))</f>
        <v>Corrientes</v>
      </c>
      <c r="J99" t="str">
        <f>PROPER(TRIM(ventas_raw_200[[#This Row],[Vendedor]]))</f>
        <v>Carlos Ruiz</v>
      </c>
      <c r="K99" t="str">
        <f>PROPER(TRIM(ventas_raw_200[[#This Row],[Producto]]))</f>
        <v>Café En Grano Intenso 1Kg</v>
      </c>
      <c r="L99">
        <f>LEN(ventas_raw_200[[#This Row],[ID_Transaccion]])</f>
        <v>10</v>
      </c>
      <c r="M99" t="str">
        <f>TRIM(ventas_raw_200[[#This Row],[ID_Transaccion]])</f>
        <v>TRX-1098</v>
      </c>
      <c r="N99">
        <f>LEN(ventas_raw_200[[#This Row],[ID_Transaccion_Limpio]])</f>
        <v>8</v>
      </c>
      <c r="O99" s="2">
        <f>IFERROR(IF(ventas_raw_200[[#This Row],[Cantidad]]&lt;0,1,ventas_raw_200[[#This Row],[Cantidad]]),1)</f>
        <v>10</v>
      </c>
      <c r="P99" t="str">
        <f>IFERROR(_xlfn.XLOOKUP(K99,maestro_productos_15!$B$2:$B$16,maestro_productos_15!$C$2:$C$16),"No encontrada")</f>
        <v>Alimentos</v>
      </c>
      <c r="Q99" t="str">
        <f>IFERROR(_xlfn.XLOOKUP(K99,maestro_productos_15!$B$2:$B$16,maestro_productos_15!$D$2:$D$16),"No encontrada")</f>
        <v>Distribuidora del Nordeste</v>
      </c>
      <c r="R99">
        <f>ventas_raw_200[[#This Row],[Precio_Unitario]]*ventas_raw_200[[#This Row],[Cantidad_Auditada]]</f>
        <v>185000</v>
      </c>
      <c r="S99">
        <f>ventas_raw_200[[#This Row],[Costo_Unitario]]*ventas_raw_200[[#This Row],[Cantidad_Auditada]]</f>
        <v>125000</v>
      </c>
      <c r="T99">
        <f>ventas_raw_200[[#This Row],[Total_Venta]]-ventas_raw_200[[#This Row],[Total_Costo]]</f>
        <v>60000</v>
      </c>
      <c r="U99" s="3" cm="1">
        <f t="array" ref="U99">_xlfn.IFS(AND(G99&gt;25000,I99="Corrientes"),O99*G99*0.06,G99&gt;25000,O99*G99*0.04,TRUE,O99*G99*0.02)</f>
        <v>3700</v>
      </c>
    </row>
    <row r="100" spans="1:21" x14ac:dyDescent="0.25">
      <c r="A100" t="s">
        <v>149</v>
      </c>
      <c r="B100" s="1">
        <v>46058</v>
      </c>
      <c r="C100" t="s">
        <v>56</v>
      </c>
      <c r="D100" t="s">
        <v>10</v>
      </c>
      <c r="E100" t="s">
        <v>62</v>
      </c>
      <c r="F100">
        <v>12</v>
      </c>
      <c r="G100">
        <v>19500</v>
      </c>
      <c r="H100">
        <v>12000</v>
      </c>
      <c r="I100" t="str">
        <f>PROPER(TRIM(ventas_raw_200[[#This Row],[Sucursal]]))</f>
        <v>Resistencia</v>
      </c>
      <c r="J100" t="str">
        <f>PROPER(TRIM(ventas_raw_200[[#This Row],[Vendedor]]))</f>
        <v>Ana Martinez</v>
      </c>
      <c r="K100" t="str">
        <f>PROPER(TRIM(ventas_raw_200[[#This Row],[Producto]]))</f>
        <v>Soporte Regulable Notebook</v>
      </c>
      <c r="L100">
        <f>LEN(ventas_raw_200[[#This Row],[ID_Transaccion]])</f>
        <v>8</v>
      </c>
      <c r="M100" t="str">
        <f>TRIM(ventas_raw_200[[#This Row],[ID_Transaccion]])</f>
        <v>TRX-1099</v>
      </c>
      <c r="N100">
        <f>LEN(ventas_raw_200[[#This Row],[ID_Transaccion_Limpio]])</f>
        <v>8</v>
      </c>
      <c r="O100" s="2">
        <f>IFERROR(IF(ventas_raw_200[[#This Row],[Cantidad]]&lt;0,1,ventas_raw_200[[#This Row],[Cantidad]]),1)</f>
        <v>12</v>
      </c>
      <c r="P100" t="str">
        <f>IFERROR(_xlfn.XLOOKUP(K100,maestro_productos_15!$B$2:$B$16,maestro_productos_15!$C$2:$C$16),"No encontrada")</f>
        <v>Tecnología</v>
      </c>
      <c r="Q100" t="str">
        <f>IFERROR(_xlfn.XLOOKUP(K100,maestro_productos_15!$B$2:$B$16,maestro_productos_15!$D$2:$D$16),"No encontrada")</f>
        <v>TechImport S.R.L.</v>
      </c>
      <c r="R100">
        <f>ventas_raw_200[[#This Row],[Precio_Unitario]]*ventas_raw_200[[#This Row],[Cantidad_Auditada]]</f>
        <v>234000</v>
      </c>
      <c r="S100">
        <f>ventas_raw_200[[#This Row],[Costo_Unitario]]*ventas_raw_200[[#This Row],[Cantidad_Auditada]]</f>
        <v>144000</v>
      </c>
      <c r="T100">
        <f>ventas_raw_200[[#This Row],[Total_Venta]]-ventas_raw_200[[#This Row],[Total_Costo]]</f>
        <v>90000</v>
      </c>
      <c r="U100" s="3" cm="1">
        <f t="array" ref="U100">_xlfn.IFS(AND(G100&gt;25000,I100="Corrientes"),O100*G100*0.06,G100&gt;25000,O100*G100*0.04,TRUE,O100*G100*0.02)</f>
        <v>4680</v>
      </c>
    </row>
    <row r="101" spans="1:21" x14ac:dyDescent="0.25">
      <c r="A101" t="s">
        <v>150</v>
      </c>
      <c r="B101" s="1">
        <v>46026</v>
      </c>
      <c r="C101" t="s">
        <v>38</v>
      </c>
      <c r="D101" t="s">
        <v>33</v>
      </c>
      <c r="E101" t="s">
        <v>21</v>
      </c>
      <c r="F101">
        <v>24</v>
      </c>
      <c r="G101">
        <v>3800</v>
      </c>
      <c r="H101">
        <v>2500</v>
      </c>
      <c r="I101" t="str">
        <f>PROPER(TRIM(ventas_raw_200[[#This Row],[Sucursal]]))</f>
        <v>Posadas</v>
      </c>
      <c r="J101" t="str">
        <f>PROPER(TRIM(ventas_raw_200[[#This Row],[Vendedor]]))</f>
        <v>Juan Perez</v>
      </c>
      <c r="K101" t="str">
        <f>PROPER(TRIM(ventas_raw_200[[#This Row],[Producto]]))</f>
        <v>Yerba Mate Premium 1Kg</v>
      </c>
      <c r="L101">
        <f>LEN(ventas_raw_200[[#This Row],[ID_Transaccion]])</f>
        <v>8</v>
      </c>
      <c r="M101" t="str">
        <f>TRIM(ventas_raw_200[[#This Row],[ID_Transaccion]])</f>
        <v>TRX-1100</v>
      </c>
      <c r="N101">
        <f>LEN(ventas_raw_200[[#This Row],[ID_Transaccion_Limpio]])</f>
        <v>8</v>
      </c>
      <c r="O101" s="2">
        <f>IFERROR(IF(ventas_raw_200[[#This Row],[Cantidad]]&lt;0,1,ventas_raw_200[[#This Row],[Cantidad]]),1)</f>
        <v>24</v>
      </c>
      <c r="P101" t="str">
        <f>IFERROR(_xlfn.XLOOKUP(K101,maestro_productos_15!$B$2:$B$16,maestro_productos_15!$C$2:$C$16),"No encontrada")</f>
        <v>Alimentos</v>
      </c>
      <c r="Q101" t="str">
        <f>IFERROR(_xlfn.XLOOKUP(K101,maestro_productos_15!$B$2:$B$16,maestro_productos_15!$D$2:$D$16),"No encontrada")</f>
        <v>Cooperativa Neike</v>
      </c>
      <c r="R101">
        <f>ventas_raw_200[[#This Row],[Precio_Unitario]]*ventas_raw_200[[#This Row],[Cantidad_Auditada]]</f>
        <v>91200</v>
      </c>
      <c r="S101">
        <f>ventas_raw_200[[#This Row],[Costo_Unitario]]*ventas_raw_200[[#This Row],[Cantidad_Auditada]]</f>
        <v>60000</v>
      </c>
      <c r="T101">
        <f>ventas_raw_200[[#This Row],[Total_Venta]]-ventas_raw_200[[#This Row],[Total_Costo]]</f>
        <v>31200</v>
      </c>
      <c r="U101" s="3" cm="1">
        <f t="array" ref="U101">_xlfn.IFS(AND(G101&gt;25000,I101="Corrientes"),O101*G101*0.06,G101&gt;25000,O101*G101*0.04,TRUE,O101*G101*0.02)</f>
        <v>1824</v>
      </c>
    </row>
    <row r="102" spans="1:21" x14ac:dyDescent="0.25">
      <c r="A102" t="s">
        <v>151</v>
      </c>
      <c r="B102" s="1">
        <v>46085</v>
      </c>
      <c r="C102" t="s">
        <v>38</v>
      </c>
      <c r="D102" t="s">
        <v>69</v>
      </c>
      <c r="E102" t="s">
        <v>17</v>
      </c>
      <c r="F102">
        <v>19</v>
      </c>
      <c r="G102">
        <v>15000</v>
      </c>
      <c r="H102">
        <v>9500</v>
      </c>
      <c r="I102" t="str">
        <f>PROPER(TRIM(ventas_raw_200[[#This Row],[Sucursal]]))</f>
        <v>Posadas</v>
      </c>
      <c r="J102" t="str">
        <f>PROPER(TRIM(ventas_raw_200[[#This Row],[Vendedor]]))</f>
        <v>Carlos Ruiz</v>
      </c>
      <c r="K102" t="str">
        <f>PROPER(TRIM(ventas_raw_200[[#This Row],[Producto]]))</f>
        <v>Mouse Inalámbrico Ergonómico</v>
      </c>
      <c r="L102">
        <f>LEN(ventas_raw_200[[#This Row],[ID_Transaccion]])</f>
        <v>8</v>
      </c>
      <c r="M102" t="str">
        <f>TRIM(ventas_raw_200[[#This Row],[ID_Transaccion]])</f>
        <v>TRX-1101</v>
      </c>
      <c r="N102">
        <f>LEN(ventas_raw_200[[#This Row],[ID_Transaccion_Limpio]])</f>
        <v>8</v>
      </c>
      <c r="O102" s="2">
        <f>IFERROR(IF(ventas_raw_200[[#This Row],[Cantidad]]&lt;0,1,ventas_raw_200[[#This Row],[Cantidad]]),1)</f>
        <v>19</v>
      </c>
      <c r="P102" t="str">
        <f>IFERROR(_xlfn.XLOOKUP(K102,maestro_productos_15!$B$2:$B$16,maestro_productos_15!$C$2:$C$16),"No encontrada")</f>
        <v>Tecnología</v>
      </c>
      <c r="Q102" t="str">
        <f>IFERROR(_xlfn.XLOOKUP(K102,maestro_productos_15!$B$2:$B$16,maestro_productos_15!$D$2:$D$16),"No encontrada")</f>
        <v>TechImport S.R.L.</v>
      </c>
      <c r="R102">
        <f>ventas_raw_200[[#This Row],[Precio_Unitario]]*ventas_raw_200[[#This Row],[Cantidad_Auditada]]</f>
        <v>285000</v>
      </c>
      <c r="S102">
        <f>ventas_raw_200[[#This Row],[Costo_Unitario]]*ventas_raw_200[[#This Row],[Cantidad_Auditada]]</f>
        <v>180500</v>
      </c>
      <c r="T102">
        <f>ventas_raw_200[[#This Row],[Total_Venta]]-ventas_raw_200[[#This Row],[Total_Costo]]</f>
        <v>104500</v>
      </c>
      <c r="U102" s="3" cm="1">
        <f t="array" ref="U102">_xlfn.IFS(AND(G102&gt;25000,I102="Corrientes"),O102*G102*0.06,G102&gt;25000,O102*G102*0.04,TRUE,O102*G102*0.02)</f>
        <v>5700</v>
      </c>
    </row>
    <row r="103" spans="1:21" x14ac:dyDescent="0.25">
      <c r="A103" t="s">
        <v>152</v>
      </c>
      <c r="B103" s="1">
        <v>46027</v>
      </c>
      <c r="C103" t="s">
        <v>25</v>
      </c>
      <c r="D103" t="s">
        <v>33</v>
      </c>
      <c r="E103" t="s">
        <v>84</v>
      </c>
      <c r="F103">
        <v>12</v>
      </c>
      <c r="G103">
        <v>28000</v>
      </c>
      <c r="H103">
        <v>18000</v>
      </c>
      <c r="I103" t="str">
        <f>PROPER(TRIM(ventas_raw_200[[#This Row],[Sucursal]]))</f>
        <v>Formosa</v>
      </c>
      <c r="J103" t="str">
        <f>PROPER(TRIM(ventas_raw_200[[#This Row],[Vendedor]]))</f>
        <v>Juan Perez</v>
      </c>
      <c r="K103" t="str">
        <f>PROPER(TRIM(ventas_raw_200[[#This Row],[Producto]]))</f>
        <v>Auriculares Bluetooth Pro</v>
      </c>
      <c r="L103">
        <f>LEN(ventas_raw_200[[#This Row],[ID_Transaccion]])</f>
        <v>8</v>
      </c>
      <c r="M103" t="str">
        <f>TRIM(ventas_raw_200[[#This Row],[ID_Transaccion]])</f>
        <v>TRX-1102</v>
      </c>
      <c r="N103">
        <f>LEN(ventas_raw_200[[#This Row],[ID_Transaccion_Limpio]])</f>
        <v>8</v>
      </c>
      <c r="O103" s="2">
        <f>IFERROR(IF(ventas_raw_200[[#This Row],[Cantidad]]&lt;0,1,ventas_raw_200[[#This Row],[Cantidad]]),1)</f>
        <v>12</v>
      </c>
      <c r="P103" t="str">
        <f>IFERROR(_xlfn.XLOOKUP(K103,maestro_productos_15!$B$2:$B$16,maestro_productos_15!$C$2:$C$16),"No encontrada")</f>
        <v>Tecnología</v>
      </c>
      <c r="Q103" t="str">
        <f>IFERROR(_xlfn.XLOOKUP(K103,maestro_productos_15!$B$2:$B$16,maestro_productos_15!$D$2:$D$16),"No encontrada")</f>
        <v>TechImport S.R.L.</v>
      </c>
      <c r="R103">
        <f>ventas_raw_200[[#This Row],[Precio_Unitario]]*ventas_raw_200[[#This Row],[Cantidad_Auditada]]</f>
        <v>336000</v>
      </c>
      <c r="S103">
        <f>ventas_raw_200[[#This Row],[Costo_Unitario]]*ventas_raw_200[[#This Row],[Cantidad_Auditada]]</f>
        <v>216000</v>
      </c>
      <c r="T103">
        <f>ventas_raw_200[[#This Row],[Total_Venta]]-ventas_raw_200[[#This Row],[Total_Costo]]</f>
        <v>120000</v>
      </c>
      <c r="U103" s="3" cm="1">
        <f t="array" ref="U103">_xlfn.IFS(AND(G103&gt;25000,I103="Corrientes"),O103*G103*0.06,G103&gt;25000,O103*G103*0.04,TRUE,O103*G103*0.02)</f>
        <v>13440</v>
      </c>
    </row>
    <row r="104" spans="1:21" x14ac:dyDescent="0.25">
      <c r="A104" t="s">
        <v>153</v>
      </c>
      <c r="B104" s="1">
        <v>46054</v>
      </c>
      <c r="C104" t="s">
        <v>9</v>
      </c>
      <c r="D104" t="s">
        <v>14</v>
      </c>
      <c r="E104" t="s">
        <v>72</v>
      </c>
      <c r="F104">
        <v>23</v>
      </c>
      <c r="G104">
        <v>45000</v>
      </c>
      <c r="H104">
        <v>30000</v>
      </c>
      <c r="I104" t="str">
        <f>PROPER(TRIM(ventas_raw_200[[#This Row],[Sucursal]]))</f>
        <v>Corrientes</v>
      </c>
      <c r="J104" t="str">
        <f>PROPER(TRIM(ventas_raw_200[[#This Row],[Vendedor]]))</f>
        <v>Juan Perez</v>
      </c>
      <c r="K104" t="str">
        <f>PROPER(TRIM(ventas_raw_200[[#This Row],[Producto]]))</f>
        <v>Teclado Mecánico Rgb</v>
      </c>
      <c r="L104">
        <f>LEN(ventas_raw_200[[#This Row],[ID_Transaccion]])</f>
        <v>8</v>
      </c>
      <c r="M104" t="str">
        <f>TRIM(ventas_raw_200[[#This Row],[ID_Transaccion]])</f>
        <v>TRX-1103</v>
      </c>
      <c r="N104">
        <f>LEN(ventas_raw_200[[#This Row],[ID_Transaccion_Limpio]])</f>
        <v>8</v>
      </c>
      <c r="O104" s="2">
        <f>IFERROR(IF(ventas_raw_200[[#This Row],[Cantidad]]&lt;0,1,ventas_raw_200[[#This Row],[Cantidad]]),1)</f>
        <v>23</v>
      </c>
      <c r="P104" t="str">
        <f>IFERROR(_xlfn.XLOOKUP(K104,maestro_productos_15!$B$2:$B$16,maestro_productos_15!$C$2:$C$16),"No encontrada")</f>
        <v>Tecnología</v>
      </c>
      <c r="Q104" t="str">
        <f>IFERROR(_xlfn.XLOOKUP(K104,maestro_productos_15!$B$2:$B$16,maestro_productos_15!$D$2:$D$16),"No encontrada")</f>
        <v>TechImport S.R.L.</v>
      </c>
      <c r="R104">
        <f>ventas_raw_200[[#This Row],[Precio_Unitario]]*ventas_raw_200[[#This Row],[Cantidad_Auditada]]</f>
        <v>1035000</v>
      </c>
      <c r="S104">
        <f>ventas_raw_200[[#This Row],[Costo_Unitario]]*ventas_raw_200[[#This Row],[Cantidad_Auditada]]</f>
        <v>690000</v>
      </c>
      <c r="T104">
        <f>ventas_raw_200[[#This Row],[Total_Venta]]-ventas_raw_200[[#This Row],[Total_Costo]]</f>
        <v>345000</v>
      </c>
      <c r="U104" s="3" cm="1">
        <f t="array" ref="U104">_xlfn.IFS(AND(G104&gt;25000,I104="Corrientes"),O104*G104*0.06,G104&gt;25000,O104*G104*0.04,TRUE,O104*G104*0.02)</f>
        <v>62100</v>
      </c>
    </row>
    <row r="105" spans="1:21" x14ac:dyDescent="0.25">
      <c r="A105" t="s">
        <v>154</v>
      </c>
      <c r="B105" s="1">
        <v>46075</v>
      </c>
      <c r="C105" t="s">
        <v>25</v>
      </c>
      <c r="D105" t="s">
        <v>14</v>
      </c>
      <c r="E105" t="s">
        <v>74</v>
      </c>
      <c r="F105">
        <v>16</v>
      </c>
      <c r="G105">
        <v>28000</v>
      </c>
      <c r="H105">
        <v>18000</v>
      </c>
      <c r="I105" t="str">
        <f>PROPER(TRIM(ventas_raw_200[[#This Row],[Sucursal]]))</f>
        <v>Formosa</v>
      </c>
      <c r="J105" t="str">
        <f>PROPER(TRIM(ventas_raw_200[[#This Row],[Vendedor]]))</f>
        <v>Juan Perez</v>
      </c>
      <c r="K105" t="str">
        <f>PROPER(TRIM(ventas_raw_200[[#This Row],[Producto]]))</f>
        <v>Auriculares Bluetooth Pro</v>
      </c>
      <c r="L105">
        <f>LEN(ventas_raw_200[[#This Row],[ID_Transaccion]])</f>
        <v>8</v>
      </c>
      <c r="M105" t="str">
        <f>TRIM(ventas_raw_200[[#This Row],[ID_Transaccion]])</f>
        <v>TRX-1104</v>
      </c>
      <c r="N105">
        <f>LEN(ventas_raw_200[[#This Row],[ID_Transaccion_Limpio]])</f>
        <v>8</v>
      </c>
      <c r="O105" s="2">
        <f>IFERROR(IF(ventas_raw_200[[#This Row],[Cantidad]]&lt;0,1,ventas_raw_200[[#This Row],[Cantidad]]),1)</f>
        <v>16</v>
      </c>
      <c r="P105" t="str">
        <f>IFERROR(_xlfn.XLOOKUP(K105,maestro_productos_15!$B$2:$B$16,maestro_productos_15!$C$2:$C$16),"No encontrada")</f>
        <v>Tecnología</v>
      </c>
      <c r="Q105" t="str">
        <f>IFERROR(_xlfn.XLOOKUP(K105,maestro_productos_15!$B$2:$B$16,maestro_productos_15!$D$2:$D$16),"No encontrada")</f>
        <v>TechImport S.R.L.</v>
      </c>
      <c r="R105">
        <f>ventas_raw_200[[#This Row],[Precio_Unitario]]*ventas_raw_200[[#This Row],[Cantidad_Auditada]]</f>
        <v>448000</v>
      </c>
      <c r="S105">
        <f>ventas_raw_200[[#This Row],[Costo_Unitario]]*ventas_raw_200[[#This Row],[Cantidad_Auditada]]</f>
        <v>288000</v>
      </c>
      <c r="T105">
        <f>ventas_raw_200[[#This Row],[Total_Venta]]-ventas_raw_200[[#This Row],[Total_Costo]]</f>
        <v>160000</v>
      </c>
      <c r="U105" s="3" cm="1">
        <f t="array" ref="U105">_xlfn.IFS(AND(G105&gt;25000,I105="Corrientes"),O105*G105*0.06,G105&gt;25000,O105*G105*0.04,TRUE,O105*G105*0.02)</f>
        <v>17920</v>
      </c>
    </row>
    <row r="106" spans="1:21" x14ac:dyDescent="0.25">
      <c r="A106" t="s">
        <v>155</v>
      </c>
      <c r="B106" s="1">
        <v>46088</v>
      </c>
      <c r="C106" t="s">
        <v>25</v>
      </c>
      <c r="D106" t="s">
        <v>69</v>
      </c>
      <c r="E106" t="s">
        <v>156</v>
      </c>
      <c r="F106">
        <v>3</v>
      </c>
      <c r="G106">
        <v>3100</v>
      </c>
      <c r="H106">
        <v>1800</v>
      </c>
      <c r="I106" t="str">
        <f>PROPER(TRIM(ventas_raw_200[[#This Row],[Sucursal]]))</f>
        <v>Formosa</v>
      </c>
      <c r="J106" t="str">
        <f>PROPER(TRIM(ventas_raw_200[[#This Row],[Vendedor]]))</f>
        <v>Carlos Ruiz</v>
      </c>
      <c r="K106" t="str">
        <f>PROPER(TRIM(ventas_raw_200[[#This Row],[Producto]]))</f>
        <v>Snack Premios Perro 250G</v>
      </c>
      <c r="L106">
        <f>LEN(ventas_raw_200[[#This Row],[ID_Transaccion]])</f>
        <v>8</v>
      </c>
      <c r="M106" t="str">
        <f>TRIM(ventas_raw_200[[#This Row],[ID_Transaccion]])</f>
        <v>TRX-1105</v>
      </c>
      <c r="N106">
        <f>LEN(ventas_raw_200[[#This Row],[ID_Transaccion_Limpio]])</f>
        <v>8</v>
      </c>
      <c r="O106" s="2">
        <f>IFERROR(IF(ventas_raw_200[[#This Row],[Cantidad]]&lt;0,1,ventas_raw_200[[#This Row],[Cantidad]]),1)</f>
        <v>3</v>
      </c>
      <c r="P106" t="str">
        <f>IFERROR(_xlfn.XLOOKUP(K106,maestro_productos_15!$B$2:$B$16,maestro_productos_15!$C$2:$C$16),"No encontrada")</f>
        <v>Mascotas</v>
      </c>
      <c r="Q106" t="str">
        <f>IFERROR(_xlfn.XLOOKUP(K106,maestro_productos_15!$B$2:$B$16,maestro_productos_15!$D$2:$D$16),"No encontrada")</f>
        <v>NutriDog Arg</v>
      </c>
      <c r="R106">
        <f>ventas_raw_200[[#This Row],[Precio_Unitario]]*ventas_raw_200[[#This Row],[Cantidad_Auditada]]</f>
        <v>9300</v>
      </c>
      <c r="S106">
        <f>ventas_raw_200[[#This Row],[Costo_Unitario]]*ventas_raw_200[[#This Row],[Cantidad_Auditada]]</f>
        <v>5400</v>
      </c>
      <c r="T106">
        <f>ventas_raw_200[[#This Row],[Total_Venta]]-ventas_raw_200[[#This Row],[Total_Costo]]</f>
        <v>3900</v>
      </c>
      <c r="U106" s="3" cm="1">
        <f t="array" ref="U106">_xlfn.IFS(AND(G106&gt;25000,I106="Corrientes"),O106*G106*0.06,G106&gt;25000,O106*G106*0.04,TRUE,O106*G106*0.02)</f>
        <v>186</v>
      </c>
    </row>
    <row r="107" spans="1:21" x14ac:dyDescent="0.25">
      <c r="A107" t="s">
        <v>157</v>
      </c>
      <c r="B107" s="1">
        <v>46103</v>
      </c>
      <c r="C107" t="s">
        <v>23</v>
      </c>
      <c r="D107" t="s">
        <v>33</v>
      </c>
      <c r="E107" t="s">
        <v>158</v>
      </c>
      <c r="F107">
        <v>10</v>
      </c>
      <c r="G107">
        <v>3100</v>
      </c>
      <c r="H107">
        <v>1800</v>
      </c>
      <c r="I107" t="str">
        <f>PROPER(TRIM(ventas_raw_200[[#This Row],[Sucursal]]))</f>
        <v>Corrientes</v>
      </c>
      <c r="J107" t="str">
        <f>PROPER(TRIM(ventas_raw_200[[#This Row],[Vendedor]]))</f>
        <v>Juan Perez</v>
      </c>
      <c r="K107" t="str">
        <f>PROPER(TRIM(ventas_raw_200[[#This Row],[Producto]]))</f>
        <v>Snack Premios Perro 250G</v>
      </c>
      <c r="L107">
        <f>LEN(ventas_raw_200[[#This Row],[ID_Transaccion]])</f>
        <v>8</v>
      </c>
      <c r="M107" t="str">
        <f>TRIM(ventas_raw_200[[#This Row],[ID_Transaccion]])</f>
        <v>TRX-1106</v>
      </c>
      <c r="N107">
        <f>LEN(ventas_raw_200[[#This Row],[ID_Transaccion_Limpio]])</f>
        <v>8</v>
      </c>
      <c r="O107" s="2">
        <f>IFERROR(IF(ventas_raw_200[[#This Row],[Cantidad]]&lt;0,1,ventas_raw_200[[#This Row],[Cantidad]]),1)</f>
        <v>10</v>
      </c>
      <c r="P107" t="str">
        <f>IFERROR(_xlfn.XLOOKUP(K107,maestro_productos_15!$B$2:$B$16,maestro_productos_15!$C$2:$C$16),"No encontrada")</f>
        <v>Mascotas</v>
      </c>
      <c r="Q107" t="str">
        <f>IFERROR(_xlfn.XLOOKUP(K107,maestro_productos_15!$B$2:$B$16,maestro_productos_15!$D$2:$D$16),"No encontrada")</f>
        <v>NutriDog Arg</v>
      </c>
      <c r="R107">
        <f>ventas_raw_200[[#This Row],[Precio_Unitario]]*ventas_raw_200[[#This Row],[Cantidad_Auditada]]</f>
        <v>31000</v>
      </c>
      <c r="S107">
        <f>ventas_raw_200[[#This Row],[Costo_Unitario]]*ventas_raw_200[[#This Row],[Cantidad_Auditada]]</f>
        <v>18000</v>
      </c>
      <c r="T107">
        <f>ventas_raw_200[[#This Row],[Total_Venta]]-ventas_raw_200[[#This Row],[Total_Costo]]</f>
        <v>13000</v>
      </c>
      <c r="U107" s="3" cm="1">
        <f t="array" ref="U107">_xlfn.IFS(AND(G107&gt;25000,I107="Corrientes"),O107*G107*0.06,G107&gt;25000,O107*G107*0.04,TRUE,O107*G107*0.02)</f>
        <v>620</v>
      </c>
    </row>
    <row r="108" spans="1:21" x14ac:dyDescent="0.25">
      <c r="A108" t="s">
        <v>159</v>
      </c>
      <c r="B108" s="1">
        <v>46063</v>
      </c>
      <c r="C108" t="s">
        <v>25</v>
      </c>
      <c r="D108" t="s">
        <v>69</v>
      </c>
      <c r="E108" t="s">
        <v>109</v>
      </c>
      <c r="F108">
        <v>20</v>
      </c>
      <c r="G108">
        <v>9200</v>
      </c>
      <c r="H108">
        <v>5500</v>
      </c>
      <c r="I108" t="str">
        <f>PROPER(TRIM(ventas_raw_200[[#This Row],[Sucursal]]))</f>
        <v>Formosa</v>
      </c>
      <c r="J108" t="str">
        <f>PROPER(TRIM(ventas_raw_200[[#This Row],[Vendedor]]))</f>
        <v>Carlos Ruiz</v>
      </c>
      <c r="K108" t="str">
        <f>PROPER(TRIM(ventas_raw_200[[#This Row],[Producto]]))</f>
        <v>Correa Reforzada Canina 3M</v>
      </c>
      <c r="L108">
        <f>LEN(ventas_raw_200[[#This Row],[ID_Transaccion]])</f>
        <v>8</v>
      </c>
      <c r="M108" t="str">
        <f>TRIM(ventas_raw_200[[#This Row],[ID_Transaccion]])</f>
        <v>TRX-1107</v>
      </c>
      <c r="N108">
        <f>LEN(ventas_raw_200[[#This Row],[ID_Transaccion_Limpio]])</f>
        <v>8</v>
      </c>
      <c r="O108" s="2">
        <f>IFERROR(IF(ventas_raw_200[[#This Row],[Cantidad]]&lt;0,1,ventas_raw_200[[#This Row],[Cantidad]]),1)</f>
        <v>20</v>
      </c>
      <c r="P108" t="str">
        <f>IFERROR(_xlfn.XLOOKUP(K108,maestro_productos_15!$B$2:$B$16,maestro_productos_15!$C$2:$C$16),"No encontrada")</f>
        <v>Mascotas</v>
      </c>
      <c r="Q108" t="str">
        <f>IFERROR(_xlfn.XLOOKUP(K108,maestro_productos_15!$B$2:$B$16,maestro_productos_15!$D$2:$D$16),"No encontrada")</f>
        <v>PetStyle Litoral</v>
      </c>
      <c r="R108">
        <f>ventas_raw_200[[#This Row],[Precio_Unitario]]*ventas_raw_200[[#This Row],[Cantidad_Auditada]]</f>
        <v>184000</v>
      </c>
      <c r="S108">
        <f>ventas_raw_200[[#This Row],[Costo_Unitario]]*ventas_raw_200[[#This Row],[Cantidad_Auditada]]</f>
        <v>110000</v>
      </c>
      <c r="T108">
        <f>ventas_raw_200[[#This Row],[Total_Venta]]-ventas_raw_200[[#This Row],[Total_Costo]]</f>
        <v>74000</v>
      </c>
      <c r="U108" s="3" cm="1">
        <f t="array" ref="U108">_xlfn.IFS(AND(G108&gt;25000,I108="Corrientes"),O108*G108*0.06,G108&gt;25000,O108*G108*0.04,TRUE,O108*G108*0.02)</f>
        <v>3680</v>
      </c>
    </row>
    <row r="109" spans="1:21" x14ac:dyDescent="0.25">
      <c r="A109" t="s">
        <v>160</v>
      </c>
      <c r="B109" s="1">
        <v>46054</v>
      </c>
      <c r="C109" t="s">
        <v>19</v>
      </c>
      <c r="D109" t="s">
        <v>20</v>
      </c>
      <c r="E109" t="s">
        <v>62</v>
      </c>
      <c r="F109">
        <v>14</v>
      </c>
      <c r="G109">
        <v>19500</v>
      </c>
      <c r="H109">
        <v>12000</v>
      </c>
      <c r="I109" t="str">
        <f>PROPER(TRIM(ventas_raw_200[[#This Row],[Sucursal]]))</f>
        <v>Resistencia</v>
      </c>
      <c r="J109" t="str">
        <f>PROPER(TRIM(ventas_raw_200[[#This Row],[Vendedor]]))</f>
        <v>Ana Martinez</v>
      </c>
      <c r="K109" t="str">
        <f>PROPER(TRIM(ventas_raw_200[[#This Row],[Producto]]))</f>
        <v>Soporte Regulable Notebook</v>
      </c>
      <c r="L109">
        <f>LEN(ventas_raw_200[[#This Row],[ID_Transaccion]])</f>
        <v>8</v>
      </c>
      <c r="M109" t="str">
        <f>TRIM(ventas_raw_200[[#This Row],[ID_Transaccion]])</f>
        <v>TRX-1108</v>
      </c>
      <c r="N109">
        <f>LEN(ventas_raw_200[[#This Row],[ID_Transaccion_Limpio]])</f>
        <v>8</v>
      </c>
      <c r="O109" s="2">
        <f>IFERROR(IF(ventas_raw_200[[#This Row],[Cantidad]]&lt;0,1,ventas_raw_200[[#This Row],[Cantidad]]),1)</f>
        <v>14</v>
      </c>
      <c r="P109" t="str">
        <f>IFERROR(_xlfn.XLOOKUP(K109,maestro_productos_15!$B$2:$B$16,maestro_productos_15!$C$2:$C$16),"No encontrada")</f>
        <v>Tecnología</v>
      </c>
      <c r="Q109" t="str">
        <f>IFERROR(_xlfn.XLOOKUP(K109,maestro_productos_15!$B$2:$B$16,maestro_productos_15!$D$2:$D$16),"No encontrada")</f>
        <v>TechImport S.R.L.</v>
      </c>
      <c r="R109">
        <f>ventas_raw_200[[#This Row],[Precio_Unitario]]*ventas_raw_200[[#This Row],[Cantidad_Auditada]]</f>
        <v>273000</v>
      </c>
      <c r="S109">
        <f>ventas_raw_200[[#This Row],[Costo_Unitario]]*ventas_raw_200[[#This Row],[Cantidad_Auditada]]</f>
        <v>168000</v>
      </c>
      <c r="T109">
        <f>ventas_raw_200[[#This Row],[Total_Venta]]-ventas_raw_200[[#This Row],[Total_Costo]]</f>
        <v>105000</v>
      </c>
      <c r="U109" s="3" cm="1">
        <f t="array" ref="U109">_xlfn.IFS(AND(G109&gt;25000,I109="Corrientes"),O109*G109*0.06,G109&gt;25000,O109*G109*0.04,TRUE,O109*G109*0.02)</f>
        <v>5460</v>
      </c>
    </row>
    <row r="110" spans="1:21" x14ac:dyDescent="0.25">
      <c r="A110" t="s">
        <v>161</v>
      </c>
      <c r="B110" s="1">
        <v>46057</v>
      </c>
      <c r="C110" t="s">
        <v>9</v>
      </c>
      <c r="D110" t="s">
        <v>20</v>
      </c>
      <c r="E110" t="s">
        <v>67</v>
      </c>
      <c r="F110">
        <v>7</v>
      </c>
      <c r="G110">
        <v>6200</v>
      </c>
      <c r="H110">
        <v>3800</v>
      </c>
      <c r="I110" t="str">
        <f>PROPER(TRIM(ventas_raw_200[[#This Row],[Sucursal]]))</f>
        <v>Corrientes</v>
      </c>
      <c r="J110" t="str">
        <f>PROPER(TRIM(ventas_raw_200[[#This Row],[Vendedor]]))</f>
        <v>Ana Martinez</v>
      </c>
      <c r="K110" t="str">
        <f>PROPER(TRIM(ventas_raw_200[[#This Row],[Producto]]))</f>
        <v>Shampoo Canino Neutro 500Ml</v>
      </c>
      <c r="L110">
        <f>LEN(ventas_raw_200[[#This Row],[ID_Transaccion]])</f>
        <v>8</v>
      </c>
      <c r="M110" t="str">
        <f>TRIM(ventas_raw_200[[#This Row],[ID_Transaccion]])</f>
        <v>TRX-1109</v>
      </c>
      <c r="N110">
        <f>LEN(ventas_raw_200[[#This Row],[ID_Transaccion_Limpio]])</f>
        <v>8</v>
      </c>
      <c r="O110" s="2">
        <f>IFERROR(IF(ventas_raw_200[[#This Row],[Cantidad]]&lt;0,1,ventas_raw_200[[#This Row],[Cantidad]]),1)</f>
        <v>7</v>
      </c>
      <c r="P110" t="str">
        <f>IFERROR(_xlfn.XLOOKUP(K110,maestro_productos_15!$B$2:$B$16,maestro_productos_15!$C$2:$C$16),"No encontrada")</f>
        <v>Mascotas</v>
      </c>
      <c r="Q110" t="str">
        <f>IFERROR(_xlfn.XLOOKUP(K110,maestro_productos_15!$B$2:$B$16,maestro_productos_15!$D$2:$D$16),"No encontrada")</f>
        <v>PetStyle Litoral</v>
      </c>
      <c r="R110">
        <f>ventas_raw_200[[#This Row],[Precio_Unitario]]*ventas_raw_200[[#This Row],[Cantidad_Auditada]]</f>
        <v>43400</v>
      </c>
      <c r="S110">
        <f>ventas_raw_200[[#This Row],[Costo_Unitario]]*ventas_raw_200[[#This Row],[Cantidad_Auditada]]</f>
        <v>26600</v>
      </c>
      <c r="T110">
        <f>ventas_raw_200[[#This Row],[Total_Venta]]-ventas_raw_200[[#This Row],[Total_Costo]]</f>
        <v>16800</v>
      </c>
      <c r="U110" s="3" cm="1">
        <f t="array" ref="U110">_xlfn.IFS(AND(G110&gt;25000,I110="Corrientes"),O110*G110*0.06,G110&gt;25000,O110*G110*0.04,TRUE,O110*G110*0.02)</f>
        <v>868</v>
      </c>
    </row>
    <row r="111" spans="1:21" x14ac:dyDescent="0.25">
      <c r="A111" t="s">
        <v>162</v>
      </c>
      <c r="B111" s="1">
        <v>46112</v>
      </c>
      <c r="C111" t="s">
        <v>9</v>
      </c>
      <c r="D111" t="s">
        <v>33</v>
      </c>
      <c r="E111" t="s">
        <v>60</v>
      </c>
      <c r="F111">
        <v>-5</v>
      </c>
      <c r="G111">
        <v>8500</v>
      </c>
      <c r="H111">
        <v>4800</v>
      </c>
      <c r="I111" t="str">
        <f>PROPER(TRIM(ventas_raw_200[[#This Row],[Sucursal]]))</f>
        <v>Corrientes</v>
      </c>
      <c r="J111" t="str">
        <f>PROPER(TRIM(ventas_raw_200[[#This Row],[Vendedor]]))</f>
        <v>Juan Perez</v>
      </c>
      <c r="K111" t="str">
        <f>PROPER(TRIM(ventas_raw_200[[#This Row],[Producto]]))</f>
        <v>Mates De Madera Calada</v>
      </c>
      <c r="L111">
        <f>LEN(ventas_raw_200[[#This Row],[ID_Transaccion]])</f>
        <v>8</v>
      </c>
      <c r="M111" t="str">
        <f>TRIM(ventas_raw_200[[#This Row],[ID_Transaccion]])</f>
        <v>TRX-1110</v>
      </c>
      <c r="N111">
        <f>LEN(ventas_raw_200[[#This Row],[ID_Transaccion_Limpio]])</f>
        <v>8</v>
      </c>
      <c r="O111" s="2">
        <f>IFERROR(IF(ventas_raw_200[[#This Row],[Cantidad]]&lt;0,1,ventas_raw_200[[#This Row],[Cantidad]]),1)</f>
        <v>1</v>
      </c>
      <c r="P111" t="str">
        <f>IFERROR(_xlfn.XLOOKUP(K111,maestro_productos_15!$B$2:$B$16,maestro_productos_15!$C$2:$C$16),"No encontrada")</f>
        <v>Bazar</v>
      </c>
      <c r="Q111" t="str">
        <f>IFERROR(_xlfn.XLOOKUP(K111,maestro_productos_15!$B$2:$B$16,maestro_productos_15!$D$2:$D$16),"No encontrada")</f>
        <v>Artesanías Guaraníes</v>
      </c>
      <c r="R111">
        <f>ventas_raw_200[[#This Row],[Precio_Unitario]]*ventas_raw_200[[#This Row],[Cantidad_Auditada]]</f>
        <v>8500</v>
      </c>
      <c r="S111">
        <f>ventas_raw_200[[#This Row],[Costo_Unitario]]*ventas_raw_200[[#This Row],[Cantidad_Auditada]]</f>
        <v>4800</v>
      </c>
      <c r="T111">
        <f>ventas_raw_200[[#This Row],[Total_Venta]]-ventas_raw_200[[#This Row],[Total_Costo]]</f>
        <v>3700</v>
      </c>
      <c r="U111" s="3" cm="1">
        <f t="array" ref="U111">_xlfn.IFS(AND(G111&gt;25000,I111="Corrientes"),O111*G111*0.06,G111&gt;25000,O111*G111*0.04,TRUE,O111*G111*0.02)</f>
        <v>170</v>
      </c>
    </row>
    <row r="112" spans="1:21" x14ac:dyDescent="0.25">
      <c r="A112" t="s">
        <v>163</v>
      </c>
      <c r="B112" s="1">
        <v>46030</v>
      </c>
      <c r="C112" t="s">
        <v>19</v>
      </c>
      <c r="D112" t="s">
        <v>10</v>
      </c>
      <c r="E112" t="s">
        <v>164</v>
      </c>
      <c r="F112">
        <v>15</v>
      </c>
      <c r="G112">
        <v>4800</v>
      </c>
      <c r="H112">
        <v>2700</v>
      </c>
      <c r="I112" t="str">
        <f>PROPER(TRIM(ventas_raw_200[[#This Row],[Sucursal]]))</f>
        <v>Resistencia</v>
      </c>
      <c r="J112" t="str">
        <f>PROPER(TRIM(ventas_raw_200[[#This Row],[Vendedor]]))</f>
        <v>Ana Martinez</v>
      </c>
      <c r="K112" t="str">
        <f>PROPER(TRIM(ventas_raw_200[[#This Row],[Producto]]))</f>
        <v>Juguete Mordillo Goma</v>
      </c>
      <c r="L112">
        <f>LEN(ventas_raw_200[[#This Row],[ID_Transaccion]])</f>
        <v>10</v>
      </c>
      <c r="M112" t="str">
        <f>TRIM(ventas_raw_200[[#This Row],[ID_Transaccion]])</f>
        <v>TRX-1111</v>
      </c>
      <c r="N112">
        <f>LEN(ventas_raw_200[[#This Row],[ID_Transaccion_Limpio]])</f>
        <v>8</v>
      </c>
      <c r="O112" s="2">
        <f>IFERROR(IF(ventas_raw_200[[#This Row],[Cantidad]]&lt;0,1,ventas_raw_200[[#This Row],[Cantidad]]),1)</f>
        <v>15</v>
      </c>
      <c r="P112" t="str">
        <f>IFERROR(_xlfn.XLOOKUP(K112,maestro_productos_15!$B$2:$B$16,maestro_productos_15!$C$2:$C$16),"No encontrada")</f>
        <v>Mascotas</v>
      </c>
      <c r="Q112" t="str">
        <f>IFERROR(_xlfn.XLOOKUP(K112,maestro_productos_15!$B$2:$B$16,maestro_productos_15!$D$2:$D$16),"No encontrada")</f>
        <v>PetStyle Litoral</v>
      </c>
      <c r="R112">
        <f>ventas_raw_200[[#This Row],[Precio_Unitario]]*ventas_raw_200[[#This Row],[Cantidad_Auditada]]</f>
        <v>72000</v>
      </c>
      <c r="S112">
        <f>ventas_raw_200[[#This Row],[Costo_Unitario]]*ventas_raw_200[[#This Row],[Cantidad_Auditada]]</f>
        <v>40500</v>
      </c>
      <c r="T112">
        <f>ventas_raw_200[[#This Row],[Total_Venta]]-ventas_raw_200[[#This Row],[Total_Costo]]</f>
        <v>31500</v>
      </c>
      <c r="U112" s="3" cm="1">
        <f t="array" ref="U112">_xlfn.IFS(AND(G112&gt;25000,I112="Corrientes"),O112*G112*0.06,G112&gt;25000,O112*G112*0.04,TRUE,O112*G112*0.02)</f>
        <v>1440</v>
      </c>
    </row>
    <row r="113" spans="1:21" x14ac:dyDescent="0.25">
      <c r="A113" t="s">
        <v>165</v>
      </c>
      <c r="B113" s="1">
        <v>46064</v>
      </c>
      <c r="C113" t="s">
        <v>25</v>
      </c>
      <c r="D113" t="s">
        <v>20</v>
      </c>
      <c r="E113" t="s">
        <v>31</v>
      </c>
      <c r="F113">
        <v>22</v>
      </c>
      <c r="G113">
        <v>29500</v>
      </c>
      <c r="H113">
        <v>20000</v>
      </c>
      <c r="I113" t="str">
        <f>PROPER(TRIM(ventas_raw_200[[#This Row],[Sucursal]]))</f>
        <v>Formosa</v>
      </c>
      <c r="J113" t="str">
        <f>PROPER(TRIM(ventas_raw_200[[#This Row],[Vendedor]]))</f>
        <v>Ana Martinez</v>
      </c>
      <c r="K113" t="str">
        <f>PROPER(TRIM(ventas_raw_200[[#This Row],[Producto]]))</f>
        <v>Alimento Gato Castrado 10Kg</v>
      </c>
      <c r="L113">
        <f>LEN(ventas_raw_200[[#This Row],[ID_Transaccion]])</f>
        <v>8</v>
      </c>
      <c r="M113" t="str">
        <f>TRIM(ventas_raw_200[[#This Row],[ID_Transaccion]])</f>
        <v>TRX-1112</v>
      </c>
      <c r="N113">
        <f>LEN(ventas_raw_200[[#This Row],[ID_Transaccion_Limpio]])</f>
        <v>8</v>
      </c>
      <c r="O113" s="2">
        <f>IFERROR(IF(ventas_raw_200[[#This Row],[Cantidad]]&lt;0,1,ventas_raw_200[[#This Row],[Cantidad]]),1)</f>
        <v>22</v>
      </c>
      <c r="P113" t="str">
        <f>IFERROR(_xlfn.XLOOKUP(K113,maestro_productos_15!$B$2:$B$16,maestro_productos_15!$C$2:$C$16),"No encontrada")</f>
        <v>Mascotas</v>
      </c>
      <c r="Q113" t="str">
        <f>IFERROR(_xlfn.XLOOKUP(K113,maestro_productos_15!$B$2:$B$16,maestro_productos_15!$D$2:$D$16),"No encontrada")</f>
        <v>NutriDog Arg</v>
      </c>
      <c r="R113">
        <f>ventas_raw_200[[#This Row],[Precio_Unitario]]*ventas_raw_200[[#This Row],[Cantidad_Auditada]]</f>
        <v>649000</v>
      </c>
      <c r="S113">
        <f>ventas_raw_200[[#This Row],[Costo_Unitario]]*ventas_raw_200[[#This Row],[Cantidad_Auditada]]</f>
        <v>440000</v>
      </c>
      <c r="T113">
        <f>ventas_raw_200[[#This Row],[Total_Venta]]-ventas_raw_200[[#This Row],[Total_Costo]]</f>
        <v>209000</v>
      </c>
      <c r="U113" s="3" cm="1">
        <f t="array" ref="U113">_xlfn.IFS(AND(G113&gt;25000,I113="Corrientes"),O113*G113*0.06,G113&gt;25000,O113*G113*0.04,TRUE,O113*G113*0.02)</f>
        <v>25960</v>
      </c>
    </row>
    <row r="114" spans="1:21" x14ac:dyDescent="0.25">
      <c r="A114" t="s">
        <v>166</v>
      </c>
      <c r="B114" s="1">
        <v>46029</v>
      </c>
      <c r="C114" t="s">
        <v>38</v>
      </c>
      <c r="D114" t="s">
        <v>33</v>
      </c>
      <c r="E114" t="s">
        <v>15</v>
      </c>
      <c r="F114">
        <v>5</v>
      </c>
      <c r="G114">
        <v>32000</v>
      </c>
      <c r="H114">
        <v>21000</v>
      </c>
      <c r="I114" t="str">
        <f>PROPER(TRIM(ventas_raw_200[[#This Row],[Sucursal]]))</f>
        <v>Posadas</v>
      </c>
      <c r="J114" t="str">
        <f>PROPER(TRIM(ventas_raw_200[[#This Row],[Vendedor]]))</f>
        <v>Juan Perez</v>
      </c>
      <c r="K114" t="str">
        <f>PROPER(TRIM(ventas_raw_200[[#This Row],[Producto]]))</f>
        <v>Termo Acero Inoxidable 1.3L</v>
      </c>
      <c r="L114">
        <f>LEN(ventas_raw_200[[#This Row],[ID_Transaccion]])</f>
        <v>8</v>
      </c>
      <c r="M114" t="str">
        <f>TRIM(ventas_raw_200[[#This Row],[ID_Transaccion]])</f>
        <v>TRX-1113</v>
      </c>
      <c r="N114">
        <f>LEN(ventas_raw_200[[#This Row],[ID_Transaccion_Limpio]])</f>
        <v>8</v>
      </c>
      <c r="O114" s="2">
        <f>IFERROR(IF(ventas_raw_200[[#This Row],[Cantidad]]&lt;0,1,ventas_raw_200[[#This Row],[Cantidad]]),1)</f>
        <v>5</v>
      </c>
      <c r="P114" t="str">
        <f>IFERROR(_xlfn.XLOOKUP(K114,maestro_productos_15!$B$2:$B$16,maestro_productos_15!$C$2:$C$16),"No encontrada")</f>
        <v>Bazar</v>
      </c>
      <c r="Q114" t="str">
        <f>IFERROR(_xlfn.XLOOKUP(K114,maestro_productos_15!$B$2:$B$16,maestro_productos_15!$D$2:$D$16),"No encontrada")</f>
        <v>Distribuidora del Nordeste</v>
      </c>
      <c r="R114">
        <f>ventas_raw_200[[#This Row],[Precio_Unitario]]*ventas_raw_200[[#This Row],[Cantidad_Auditada]]</f>
        <v>160000</v>
      </c>
      <c r="S114">
        <f>ventas_raw_200[[#This Row],[Costo_Unitario]]*ventas_raw_200[[#This Row],[Cantidad_Auditada]]</f>
        <v>105000</v>
      </c>
      <c r="T114">
        <f>ventas_raw_200[[#This Row],[Total_Venta]]-ventas_raw_200[[#This Row],[Total_Costo]]</f>
        <v>55000</v>
      </c>
      <c r="U114" s="3" cm="1">
        <f t="array" ref="U114">_xlfn.IFS(AND(G114&gt;25000,I114="Corrientes"),O114*G114*0.06,G114&gt;25000,O114*G114*0.04,TRUE,O114*G114*0.02)</f>
        <v>6400</v>
      </c>
    </row>
    <row r="115" spans="1:21" x14ac:dyDescent="0.25">
      <c r="A115" t="s">
        <v>167</v>
      </c>
      <c r="B115" s="1">
        <v>46096</v>
      </c>
      <c r="C115" t="s">
        <v>13</v>
      </c>
      <c r="D115" t="s">
        <v>10</v>
      </c>
      <c r="E115" t="s">
        <v>36</v>
      </c>
      <c r="F115">
        <v>10</v>
      </c>
      <c r="G115">
        <v>3100</v>
      </c>
      <c r="H115">
        <v>1800</v>
      </c>
      <c r="I115" t="str">
        <f>PROPER(TRIM(ventas_raw_200[[#This Row],[Sucursal]]))</f>
        <v>Posadas</v>
      </c>
      <c r="J115" t="str">
        <f>PROPER(TRIM(ventas_raw_200[[#This Row],[Vendedor]]))</f>
        <v>Ana Martinez</v>
      </c>
      <c r="K115" t="str">
        <f>PROPER(TRIM(ventas_raw_200[[#This Row],[Producto]]))</f>
        <v>Snack Premios Perro 250G</v>
      </c>
      <c r="L115">
        <f>LEN(ventas_raw_200[[#This Row],[ID_Transaccion]])</f>
        <v>8</v>
      </c>
      <c r="M115" t="str">
        <f>TRIM(ventas_raw_200[[#This Row],[ID_Transaccion]])</f>
        <v>TRX-1114</v>
      </c>
      <c r="N115">
        <f>LEN(ventas_raw_200[[#This Row],[ID_Transaccion_Limpio]])</f>
        <v>8</v>
      </c>
      <c r="O115" s="2">
        <f>IFERROR(IF(ventas_raw_200[[#This Row],[Cantidad]]&lt;0,1,ventas_raw_200[[#This Row],[Cantidad]]),1)</f>
        <v>10</v>
      </c>
      <c r="P115" t="str">
        <f>IFERROR(_xlfn.XLOOKUP(K115,maestro_productos_15!$B$2:$B$16,maestro_productos_15!$C$2:$C$16),"No encontrada")</f>
        <v>Mascotas</v>
      </c>
      <c r="Q115" t="str">
        <f>IFERROR(_xlfn.XLOOKUP(K115,maestro_productos_15!$B$2:$B$16,maestro_productos_15!$D$2:$D$16),"No encontrada")</f>
        <v>NutriDog Arg</v>
      </c>
      <c r="R115">
        <f>ventas_raw_200[[#This Row],[Precio_Unitario]]*ventas_raw_200[[#This Row],[Cantidad_Auditada]]</f>
        <v>31000</v>
      </c>
      <c r="S115">
        <f>ventas_raw_200[[#This Row],[Costo_Unitario]]*ventas_raw_200[[#This Row],[Cantidad_Auditada]]</f>
        <v>18000</v>
      </c>
      <c r="T115">
        <f>ventas_raw_200[[#This Row],[Total_Venta]]-ventas_raw_200[[#This Row],[Total_Costo]]</f>
        <v>13000</v>
      </c>
      <c r="U115" s="3" cm="1">
        <f t="array" ref="U115">_xlfn.IFS(AND(G115&gt;25000,I115="Corrientes"),O115*G115*0.06,G115&gt;25000,O115*G115*0.04,TRUE,O115*G115*0.02)</f>
        <v>620</v>
      </c>
    </row>
    <row r="116" spans="1:21" x14ac:dyDescent="0.25">
      <c r="A116" t="s">
        <v>168</v>
      </c>
      <c r="B116" s="1">
        <v>46046</v>
      </c>
      <c r="C116" t="s">
        <v>19</v>
      </c>
      <c r="D116" t="s">
        <v>49</v>
      </c>
      <c r="E116" t="s">
        <v>158</v>
      </c>
      <c r="F116">
        <v>15</v>
      </c>
      <c r="G116">
        <v>3100</v>
      </c>
      <c r="H116">
        <v>1800</v>
      </c>
      <c r="I116" t="str">
        <f>PROPER(TRIM(ventas_raw_200[[#This Row],[Sucursal]]))</f>
        <v>Resistencia</v>
      </c>
      <c r="J116" t="str">
        <f>PROPER(TRIM(ventas_raw_200[[#This Row],[Vendedor]]))</f>
        <v>Carlos Ruiz</v>
      </c>
      <c r="K116" t="str">
        <f>PROPER(TRIM(ventas_raw_200[[#This Row],[Producto]]))</f>
        <v>Snack Premios Perro 250G</v>
      </c>
      <c r="L116">
        <f>LEN(ventas_raw_200[[#This Row],[ID_Transaccion]])</f>
        <v>8</v>
      </c>
      <c r="M116" t="str">
        <f>TRIM(ventas_raw_200[[#This Row],[ID_Transaccion]])</f>
        <v>TRX-1115</v>
      </c>
      <c r="N116">
        <f>LEN(ventas_raw_200[[#This Row],[ID_Transaccion_Limpio]])</f>
        <v>8</v>
      </c>
      <c r="O116" s="2">
        <f>IFERROR(IF(ventas_raw_200[[#This Row],[Cantidad]]&lt;0,1,ventas_raw_200[[#This Row],[Cantidad]]),1)</f>
        <v>15</v>
      </c>
      <c r="P116" t="str">
        <f>IFERROR(_xlfn.XLOOKUP(K116,maestro_productos_15!$B$2:$B$16,maestro_productos_15!$C$2:$C$16),"No encontrada")</f>
        <v>Mascotas</v>
      </c>
      <c r="Q116" t="str">
        <f>IFERROR(_xlfn.XLOOKUP(K116,maestro_productos_15!$B$2:$B$16,maestro_productos_15!$D$2:$D$16),"No encontrada")</f>
        <v>NutriDog Arg</v>
      </c>
      <c r="R116">
        <f>ventas_raw_200[[#This Row],[Precio_Unitario]]*ventas_raw_200[[#This Row],[Cantidad_Auditada]]</f>
        <v>46500</v>
      </c>
      <c r="S116">
        <f>ventas_raw_200[[#This Row],[Costo_Unitario]]*ventas_raw_200[[#This Row],[Cantidad_Auditada]]</f>
        <v>27000</v>
      </c>
      <c r="T116">
        <f>ventas_raw_200[[#This Row],[Total_Venta]]-ventas_raw_200[[#This Row],[Total_Costo]]</f>
        <v>19500</v>
      </c>
      <c r="U116" s="3" cm="1">
        <f t="array" ref="U116">_xlfn.IFS(AND(G116&gt;25000,I116="Corrientes"),O116*G116*0.06,G116&gt;25000,O116*G116*0.04,TRUE,O116*G116*0.02)</f>
        <v>930</v>
      </c>
    </row>
    <row r="117" spans="1:21" x14ac:dyDescent="0.25">
      <c r="A117" t="s">
        <v>169</v>
      </c>
      <c r="B117" s="1">
        <v>46084</v>
      </c>
      <c r="C117" t="s">
        <v>38</v>
      </c>
      <c r="D117" t="s">
        <v>30</v>
      </c>
      <c r="E117" t="s">
        <v>164</v>
      </c>
      <c r="F117">
        <v>1</v>
      </c>
      <c r="G117">
        <v>4800</v>
      </c>
      <c r="H117">
        <v>2700</v>
      </c>
      <c r="I117" t="str">
        <f>PROPER(TRIM(ventas_raw_200[[#This Row],[Sucursal]]))</f>
        <v>Posadas</v>
      </c>
      <c r="J117" t="str">
        <f>PROPER(TRIM(ventas_raw_200[[#This Row],[Vendedor]]))</f>
        <v>Maria Gomez</v>
      </c>
      <c r="K117" t="str">
        <f>PROPER(TRIM(ventas_raw_200[[#This Row],[Producto]]))</f>
        <v>Juguete Mordillo Goma</v>
      </c>
      <c r="L117">
        <f>LEN(ventas_raw_200[[#This Row],[ID_Transaccion]])</f>
        <v>8</v>
      </c>
      <c r="M117" t="str">
        <f>TRIM(ventas_raw_200[[#This Row],[ID_Transaccion]])</f>
        <v>TRX-1116</v>
      </c>
      <c r="N117">
        <f>LEN(ventas_raw_200[[#This Row],[ID_Transaccion_Limpio]])</f>
        <v>8</v>
      </c>
      <c r="O117" s="2">
        <f>IFERROR(IF(ventas_raw_200[[#This Row],[Cantidad]]&lt;0,1,ventas_raw_200[[#This Row],[Cantidad]]),1)</f>
        <v>1</v>
      </c>
      <c r="P117" t="str">
        <f>IFERROR(_xlfn.XLOOKUP(K117,maestro_productos_15!$B$2:$B$16,maestro_productos_15!$C$2:$C$16),"No encontrada")</f>
        <v>Mascotas</v>
      </c>
      <c r="Q117" t="str">
        <f>IFERROR(_xlfn.XLOOKUP(K117,maestro_productos_15!$B$2:$B$16,maestro_productos_15!$D$2:$D$16),"No encontrada")</f>
        <v>PetStyle Litoral</v>
      </c>
      <c r="R117">
        <f>ventas_raw_200[[#This Row],[Precio_Unitario]]*ventas_raw_200[[#This Row],[Cantidad_Auditada]]</f>
        <v>4800</v>
      </c>
      <c r="S117">
        <f>ventas_raw_200[[#This Row],[Costo_Unitario]]*ventas_raw_200[[#This Row],[Cantidad_Auditada]]</f>
        <v>2700</v>
      </c>
      <c r="T117">
        <f>ventas_raw_200[[#This Row],[Total_Venta]]-ventas_raw_200[[#This Row],[Total_Costo]]</f>
        <v>2100</v>
      </c>
      <c r="U117" s="3" cm="1">
        <f t="array" ref="U117">_xlfn.IFS(AND(G117&gt;25000,I117="Corrientes"),O117*G117*0.06,G117&gt;25000,O117*G117*0.04,TRUE,O117*G117*0.02)</f>
        <v>96</v>
      </c>
    </row>
    <row r="118" spans="1:21" x14ac:dyDescent="0.25">
      <c r="A118" t="s">
        <v>170</v>
      </c>
      <c r="B118" s="1">
        <v>46046</v>
      </c>
      <c r="C118" t="s">
        <v>13</v>
      </c>
      <c r="D118" t="s">
        <v>49</v>
      </c>
      <c r="E118" t="s">
        <v>41</v>
      </c>
      <c r="F118">
        <v>25</v>
      </c>
      <c r="G118">
        <v>4800</v>
      </c>
      <c r="H118">
        <v>2700</v>
      </c>
      <c r="I118" t="str">
        <f>PROPER(TRIM(ventas_raw_200[[#This Row],[Sucursal]]))</f>
        <v>Posadas</v>
      </c>
      <c r="J118" t="str">
        <f>PROPER(TRIM(ventas_raw_200[[#This Row],[Vendedor]]))</f>
        <v>Carlos Ruiz</v>
      </c>
      <c r="K118" t="str">
        <f>PROPER(TRIM(ventas_raw_200[[#This Row],[Producto]]))</f>
        <v>Juguete Mordillo Goma</v>
      </c>
      <c r="L118">
        <f>LEN(ventas_raw_200[[#This Row],[ID_Transaccion]])</f>
        <v>8</v>
      </c>
      <c r="M118" t="str">
        <f>TRIM(ventas_raw_200[[#This Row],[ID_Transaccion]])</f>
        <v>TRX-1117</v>
      </c>
      <c r="N118">
        <f>LEN(ventas_raw_200[[#This Row],[ID_Transaccion_Limpio]])</f>
        <v>8</v>
      </c>
      <c r="O118" s="2">
        <f>IFERROR(IF(ventas_raw_200[[#This Row],[Cantidad]]&lt;0,1,ventas_raw_200[[#This Row],[Cantidad]]),1)</f>
        <v>25</v>
      </c>
      <c r="P118" t="str">
        <f>IFERROR(_xlfn.XLOOKUP(K118,maestro_productos_15!$B$2:$B$16,maestro_productos_15!$C$2:$C$16),"No encontrada")</f>
        <v>Mascotas</v>
      </c>
      <c r="Q118" t="str">
        <f>IFERROR(_xlfn.XLOOKUP(K118,maestro_productos_15!$B$2:$B$16,maestro_productos_15!$D$2:$D$16),"No encontrada")</f>
        <v>PetStyle Litoral</v>
      </c>
      <c r="R118">
        <f>ventas_raw_200[[#This Row],[Precio_Unitario]]*ventas_raw_200[[#This Row],[Cantidad_Auditada]]</f>
        <v>120000</v>
      </c>
      <c r="S118">
        <f>ventas_raw_200[[#This Row],[Costo_Unitario]]*ventas_raw_200[[#This Row],[Cantidad_Auditada]]</f>
        <v>67500</v>
      </c>
      <c r="T118">
        <f>ventas_raw_200[[#This Row],[Total_Venta]]-ventas_raw_200[[#This Row],[Total_Costo]]</f>
        <v>52500</v>
      </c>
      <c r="U118" s="3" cm="1">
        <f t="array" ref="U118">_xlfn.IFS(AND(G118&gt;25000,I118="Corrientes"),O118*G118*0.06,G118&gt;25000,O118*G118*0.04,TRUE,O118*G118*0.02)</f>
        <v>2400</v>
      </c>
    </row>
    <row r="119" spans="1:21" x14ac:dyDescent="0.25">
      <c r="A119" t="s">
        <v>171</v>
      </c>
      <c r="B119" s="1">
        <v>46026</v>
      </c>
      <c r="C119" t="s">
        <v>23</v>
      </c>
      <c r="D119" t="s">
        <v>69</v>
      </c>
      <c r="E119" t="s">
        <v>21</v>
      </c>
      <c r="F119">
        <v>15</v>
      </c>
      <c r="G119">
        <v>3800</v>
      </c>
      <c r="H119">
        <v>2500</v>
      </c>
      <c r="I119" t="str">
        <f>PROPER(TRIM(ventas_raw_200[[#This Row],[Sucursal]]))</f>
        <v>Corrientes</v>
      </c>
      <c r="J119" t="str">
        <f>PROPER(TRIM(ventas_raw_200[[#This Row],[Vendedor]]))</f>
        <v>Carlos Ruiz</v>
      </c>
      <c r="K119" t="str">
        <f>PROPER(TRIM(ventas_raw_200[[#This Row],[Producto]]))</f>
        <v>Yerba Mate Premium 1Kg</v>
      </c>
      <c r="L119">
        <f>LEN(ventas_raw_200[[#This Row],[ID_Transaccion]])</f>
        <v>8</v>
      </c>
      <c r="M119" t="str">
        <f>TRIM(ventas_raw_200[[#This Row],[ID_Transaccion]])</f>
        <v>TRX-1118</v>
      </c>
      <c r="N119">
        <f>LEN(ventas_raw_200[[#This Row],[ID_Transaccion_Limpio]])</f>
        <v>8</v>
      </c>
      <c r="O119" s="2">
        <f>IFERROR(IF(ventas_raw_200[[#This Row],[Cantidad]]&lt;0,1,ventas_raw_200[[#This Row],[Cantidad]]),1)</f>
        <v>15</v>
      </c>
      <c r="P119" t="str">
        <f>IFERROR(_xlfn.XLOOKUP(K119,maestro_productos_15!$B$2:$B$16,maestro_productos_15!$C$2:$C$16),"No encontrada")</f>
        <v>Alimentos</v>
      </c>
      <c r="Q119" t="str">
        <f>IFERROR(_xlfn.XLOOKUP(K119,maestro_productos_15!$B$2:$B$16,maestro_productos_15!$D$2:$D$16),"No encontrada")</f>
        <v>Cooperativa Neike</v>
      </c>
      <c r="R119">
        <f>ventas_raw_200[[#This Row],[Precio_Unitario]]*ventas_raw_200[[#This Row],[Cantidad_Auditada]]</f>
        <v>57000</v>
      </c>
      <c r="S119">
        <f>ventas_raw_200[[#This Row],[Costo_Unitario]]*ventas_raw_200[[#This Row],[Cantidad_Auditada]]</f>
        <v>37500</v>
      </c>
      <c r="T119">
        <f>ventas_raw_200[[#This Row],[Total_Venta]]-ventas_raw_200[[#This Row],[Total_Costo]]</f>
        <v>19500</v>
      </c>
      <c r="U119" s="3" cm="1">
        <f t="array" ref="U119">_xlfn.IFS(AND(G119&gt;25000,I119="Corrientes"),O119*G119*0.06,G119&gt;25000,O119*G119*0.04,TRUE,O119*G119*0.02)</f>
        <v>1140</v>
      </c>
    </row>
    <row r="120" spans="1:21" x14ac:dyDescent="0.25">
      <c r="A120" t="s">
        <v>172</v>
      </c>
      <c r="B120" s="1">
        <v>46052</v>
      </c>
      <c r="C120" t="s">
        <v>25</v>
      </c>
      <c r="D120" t="s">
        <v>69</v>
      </c>
      <c r="E120" t="s">
        <v>72</v>
      </c>
      <c r="F120">
        <v>16</v>
      </c>
      <c r="G120">
        <v>45000</v>
      </c>
      <c r="H120">
        <v>30000</v>
      </c>
      <c r="I120" t="str">
        <f>PROPER(TRIM(ventas_raw_200[[#This Row],[Sucursal]]))</f>
        <v>Formosa</v>
      </c>
      <c r="J120" t="str">
        <f>PROPER(TRIM(ventas_raw_200[[#This Row],[Vendedor]]))</f>
        <v>Carlos Ruiz</v>
      </c>
      <c r="K120" t="str">
        <f>PROPER(TRIM(ventas_raw_200[[#This Row],[Producto]]))</f>
        <v>Teclado Mecánico Rgb</v>
      </c>
      <c r="L120">
        <f>LEN(ventas_raw_200[[#This Row],[ID_Transaccion]])</f>
        <v>8</v>
      </c>
      <c r="M120" t="str">
        <f>TRIM(ventas_raw_200[[#This Row],[ID_Transaccion]])</f>
        <v>TRX-1119</v>
      </c>
      <c r="N120">
        <f>LEN(ventas_raw_200[[#This Row],[ID_Transaccion_Limpio]])</f>
        <v>8</v>
      </c>
      <c r="O120" s="2">
        <f>IFERROR(IF(ventas_raw_200[[#This Row],[Cantidad]]&lt;0,1,ventas_raw_200[[#This Row],[Cantidad]]),1)</f>
        <v>16</v>
      </c>
      <c r="P120" t="str">
        <f>IFERROR(_xlfn.XLOOKUP(K120,maestro_productos_15!$B$2:$B$16,maestro_productos_15!$C$2:$C$16),"No encontrada")</f>
        <v>Tecnología</v>
      </c>
      <c r="Q120" t="str">
        <f>IFERROR(_xlfn.XLOOKUP(K120,maestro_productos_15!$B$2:$B$16,maestro_productos_15!$D$2:$D$16),"No encontrada")</f>
        <v>TechImport S.R.L.</v>
      </c>
      <c r="R120">
        <f>ventas_raw_200[[#This Row],[Precio_Unitario]]*ventas_raw_200[[#This Row],[Cantidad_Auditada]]</f>
        <v>720000</v>
      </c>
      <c r="S120">
        <f>ventas_raw_200[[#This Row],[Costo_Unitario]]*ventas_raw_200[[#This Row],[Cantidad_Auditada]]</f>
        <v>480000</v>
      </c>
      <c r="T120">
        <f>ventas_raw_200[[#This Row],[Total_Venta]]-ventas_raw_200[[#This Row],[Total_Costo]]</f>
        <v>240000</v>
      </c>
      <c r="U120" s="3" cm="1">
        <f t="array" ref="U120">_xlfn.IFS(AND(G120&gt;25000,I120="Corrientes"),O120*G120*0.06,G120&gt;25000,O120*G120*0.04,TRUE,O120*G120*0.02)</f>
        <v>28800</v>
      </c>
    </row>
    <row r="121" spans="1:21" x14ac:dyDescent="0.25">
      <c r="A121" t="s">
        <v>173</v>
      </c>
      <c r="B121" s="1">
        <v>46074</v>
      </c>
      <c r="C121" t="s">
        <v>23</v>
      </c>
      <c r="D121" t="s">
        <v>30</v>
      </c>
      <c r="E121" t="s">
        <v>41</v>
      </c>
      <c r="F121">
        <v>16</v>
      </c>
      <c r="G121">
        <v>4800</v>
      </c>
      <c r="H121">
        <v>2700</v>
      </c>
      <c r="I121" t="str">
        <f>PROPER(TRIM(ventas_raw_200[[#This Row],[Sucursal]]))</f>
        <v>Corrientes</v>
      </c>
      <c r="J121" t="str">
        <f>PROPER(TRIM(ventas_raw_200[[#This Row],[Vendedor]]))</f>
        <v>Maria Gomez</v>
      </c>
      <c r="K121" t="str">
        <f>PROPER(TRIM(ventas_raw_200[[#This Row],[Producto]]))</f>
        <v>Juguete Mordillo Goma</v>
      </c>
      <c r="L121">
        <f>LEN(ventas_raw_200[[#This Row],[ID_Transaccion]])</f>
        <v>8</v>
      </c>
      <c r="M121" t="str">
        <f>TRIM(ventas_raw_200[[#This Row],[ID_Transaccion]])</f>
        <v>TRX-1120</v>
      </c>
      <c r="N121">
        <f>LEN(ventas_raw_200[[#This Row],[ID_Transaccion_Limpio]])</f>
        <v>8</v>
      </c>
      <c r="O121" s="2">
        <f>IFERROR(IF(ventas_raw_200[[#This Row],[Cantidad]]&lt;0,1,ventas_raw_200[[#This Row],[Cantidad]]),1)</f>
        <v>16</v>
      </c>
      <c r="P121" t="str">
        <f>IFERROR(_xlfn.XLOOKUP(K121,maestro_productos_15!$B$2:$B$16,maestro_productos_15!$C$2:$C$16),"No encontrada")</f>
        <v>Mascotas</v>
      </c>
      <c r="Q121" t="str">
        <f>IFERROR(_xlfn.XLOOKUP(K121,maestro_productos_15!$B$2:$B$16,maestro_productos_15!$D$2:$D$16),"No encontrada")</f>
        <v>PetStyle Litoral</v>
      </c>
      <c r="R121">
        <f>ventas_raw_200[[#This Row],[Precio_Unitario]]*ventas_raw_200[[#This Row],[Cantidad_Auditada]]</f>
        <v>76800</v>
      </c>
      <c r="S121">
        <f>ventas_raw_200[[#This Row],[Costo_Unitario]]*ventas_raw_200[[#This Row],[Cantidad_Auditada]]</f>
        <v>43200</v>
      </c>
      <c r="T121">
        <f>ventas_raw_200[[#This Row],[Total_Venta]]-ventas_raw_200[[#This Row],[Total_Costo]]</f>
        <v>33600</v>
      </c>
      <c r="U121" s="3" cm="1">
        <f t="array" ref="U121">_xlfn.IFS(AND(G121&gt;25000,I121="Corrientes"),O121*G121*0.06,G121&gt;25000,O121*G121*0.04,TRUE,O121*G121*0.02)</f>
        <v>1536</v>
      </c>
    </row>
    <row r="122" spans="1:21" x14ac:dyDescent="0.25">
      <c r="A122" t="s">
        <v>174</v>
      </c>
      <c r="B122" s="1">
        <v>46074</v>
      </c>
      <c r="C122" t="s">
        <v>56</v>
      </c>
      <c r="D122" t="s">
        <v>14</v>
      </c>
      <c r="E122" t="s">
        <v>88</v>
      </c>
      <c r="F122">
        <v>11</v>
      </c>
      <c r="G122">
        <v>6200</v>
      </c>
      <c r="H122">
        <v>3800</v>
      </c>
      <c r="I122" t="str">
        <f>PROPER(TRIM(ventas_raw_200[[#This Row],[Sucursal]]))</f>
        <v>Resistencia</v>
      </c>
      <c r="J122" t="str">
        <f>PROPER(TRIM(ventas_raw_200[[#This Row],[Vendedor]]))</f>
        <v>Juan Perez</v>
      </c>
      <c r="K122" t="str">
        <f>PROPER(TRIM(ventas_raw_200[[#This Row],[Producto]]))</f>
        <v>Shampoo Canino Neutro 500Ml</v>
      </c>
      <c r="L122">
        <f>LEN(ventas_raw_200[[#This Row],[ID_Transaccion]])</f>
        <v>8</v>
      </c>
      <c r="M122" t="str">
        <f>TRIM(ventas_raw_200[[#This Row],[ID_Transaccion]])</f>
        <v>TRX-1121</v>
      </c>
      <c r="N122">
        <f>LEN(ventas_raw_200[[#This Row],[ID_Transaccion_Limpio]])</f>
        <v>8</v>
      </c>
      <c r="O122" s="2">
        <f>IFERROR(IF(ventas_raw_200[[#This Row],[Cantidad]]&lt;0,1,ventas_raw_200[[#This Row],[Cantidad]]),1)</f>
        <v>11</v>
      </c>
      <c r="P122" t="str">
        <f>IFERROR(_xlfn.XLOOKUP(K122,maestro_productos_15!$B$2:$B$16,maestro_productos_15!$C$2:$C$16),"No encontrada")</f>
        <v>Mascotas</v>
      </c>
      <c r="Q122" t="str">
        <f>IFERROR(_xlfn.XLOOKUP(K122,maestro_productos_15!$B$2:$B$16,maestro_productos_15!$D$2:$D$16),"No encontrada")</f>
        <v>PetStyle Litoral</v>
      </c>
      <c r="R122">
        <f>ventas_raw_200[[#This Row],[Precio_Unitario]]*ventas_raw_200[[#This Row],[Cantidad_Auditada]]</f>
        <v>68200</v>
      </c>
      <c r="S122">
        <f>ventas_raw_200[[#This Row],[Costo_Unitario]]*ventas_raw_200[[#This Row],[Cantidad_Auditada]]</f>
        <v>41800</v>
      </c>
      <c r="T122">
        <f>ventas_raw_200[[#This Row],[Total_Venta]]-ventas_raw_200[[#This Row],[Total_Costo]]</f>
        <v>26400</v>
      </c>
      <c r="U122" s="3" cm="1">
        <f t="array" ref="U122">_xlfn.IFS(AND(G122&gt;25000,I122="Corrientes"),O122*G122*0.06,G122&gt;25000,O122*G122*0.04,TRUE,O122*G122*0.02)</f>
        <v>1364</v>
      </c>
    </row>
    <row r="123" spans="1:21" x14ac:dyDescent="0.25">
      <c r="A123" t="s">
        <v>175</v>
      </c>
      <c r="B123" s="1">
        <v>46075</v>
      </c>
      <c r="C123" t="s">
        <v>13</v>
      </c>
      <c r="D123" t="s">
        <v>20</v>
      </c>
      <c r="E123" t="s">
        <v>34</v>
      </c>
      <c r="F123">
        <v>22</v>
      </c>
      <c r="G123">
        <v>22000</v>
      </c>
      <c r="H123">
        <v>14000</v>
      </c>
      <c r="I123" t="str">
        <f>PROPER(TRIM(ventas_raw_200[[#This Row],[Sucursal]]))</f>
        <v>Posadas</v>
      </c>
      <c r="J123" t="str">
        <f>PROPER(TRIM(ventas_raw_200[[#This Row],[Vendedor]]))</f>
        <v>Ana Martinez</v>
      </c>
      <c r="K123" t="str">
        <f>PROPER(TRIM(ventas_raw_200[[#This Row],[Producto]]))</f>
        <v>Cargador Rápido Usb-C 65W</v>
      </c>
      <c r="L123">
        <f>LEN(ventas_raw_200[[#This Row],[ID_Transaccion]])</f>
        <v>8</v>
      </c>
      <c r="M123" t="str">
        <f>TRIM(ventas_raw_200[[#This Row],[ID_Transaccion]])</f>
        <v>TRX-1122</v>
      </c>
      <c r="N123">
        <f>LEN(ventas_raw_200[[#This Row],[ID_Transaccion_Limpio]])</f>
        <v>8</v>
      </c>
      <c r="O123" s="2">
        <f>IFERROR(IF(ventas_raw_200[[#This Row],[Cantidad]]&lt;0,1,ventas_raw_200[[#This Row],[Cantidad]]),1)</f>
        <v>22</v>
      </c>
      <c r="P123" t="str">
        <f>IFERROR(_xlfn.XLOOKUP(K123,maestro_productos_15!$B$2:$B$16,maestro_productos_15!$C$2:$C$16),"No encontrada")</f>
        <v>Tecnología</v>
      </c>
      <c r="Q123" t="str">
        <f>IFERROR(_xlfn.XLOOKUP(K123,maestro_productos_15!$B$2:$B$16,maestro_productos_15!$D$2:$D$16),"No encontrada")</f>
        <v>TechImport S.R.L.</v>
      </c>
      <c r="R123">
        <f>ventas_raw_200[[#This Row],[Precio_Unitario]]*ventas_raw_200[[#This Row],[Cantidad_Auditada]]</f>
        <v>484000</v>
      </c>
      <c r="S123">
        <f>ventas_raw_200[[#This Row],[Costo_Unitario]]*ventas_raw_200[[#This Row],[Cantidad_Auditada]]</f>
        <v>308000</v>
      </c>
      <c r="T123">
        <f>ventas_raw_200[[#This Row],[Total_Venta]]-ventas_raw_200[[#This Row],[Total_Costo]]</f>
        <v>176000</v>
      </c>
      <c r="U123" s="3" cm="1">
        <f t="array" ref="U123">_xlfn.IFS(AND(G123&gt;25000,I123="Corrientes"),O123*G123*0.06,G123&gt;25000,O123*G123*0.04,TRUE,O123*G123*0.02)</f>
        <v>9680</v>
      </c>
    </row>
    <row r="124" spans="1:21" x14ac:dyDescent="0.25">
      <c r="A124" t="s">
        <v>176</v>
      </c>
      <c r="B124" s="1">
        <v>46028</v>
      </c>
      <c r="C124" t="s">
        <v>19</v>
      </c>
      <c r="D124" t="s">
        <v>49</v>
      </c>
      <c r="E124" t="s">
        <v>177</v>
      </c>
      <c r="F124">
        <v>21</v>
      </c>
      <c r="G124">
        <v>8500</v>
      </c>
      <c r="H124">
        <v>4800</v>
      </c>
      <c r="I124" t="str">
        <f>PROPER(TRIM(ventas_raw_200[[#This Row],[Sucursal]]))</f>
        <v>Resistencia</v>
      </c>
      <c r="J124" t="str">
        <f>PROPER(TRIM(ventas_raw_200[[#This Row],[Vendedor]]))</f>
        <v>Carlos Ruiz</v>
      </c>
      <c r="K124" t="str">
        <f>PROPER(TRIM(ventas_raw_200[[#This Row],[Producto]]))</f>
        <v>Mates De Madera Calada</v>
      </c>
      <c r="L124">
        <f>LEN(ventas_raw_200[[#This Row],[ID_Transaccion]])</f>
        <v>8</v>
      </c>
      <c r="M124" t="str">
        <f>TRIM(ventas_raw_200[[#This Row],[ID_Transaccion]])</f>
        <v>TRX-1123</v>
      </c>
      <c r="N124">
        <f>LEN(ventas_raw_200[[#This Row],[ID_Transaccion_Limpio]])</f>
        <v>8</v>
      </c>
      <c r="O124" s="2">
        <f>IFERROR(IF(ventas_raw_200[[#This Row],[Cantidad]]&lt;0,1,ventas_raw_200[[#This Row],[Cantidad]]),1)</f>
        <v>21</v>
      </c>
      <c r="P124" t="str">
        <f>IFERROR(_xlfn.XLOOKUP(K124,maestro_productos_15!$B$2:$B$16,maestro_productos_15!$C$2:$C$16),"No encontrada")</f>
        <v>Bazar</v>
      </c>
      <c r="Q124" t="str">
        <f>IFERROR(_xlfn.XLOOKUP(K124,maestro_productos_15!$B$2:$B$16,maestro_productos_15!$D$2:$D$16),"No encontrada")</f>
        <v>Artesanías Guaraníes</v>
      </c>
      <c r="R124">
        <f>ventas_raw_200[[#This Row],[Precio_Unitario]]*ventas_raw_200[[#This Row],[Cantidad_Auditada]]</f>
        <v>178500</v>
      </c>
      <c r="S124">
        <f>ventas_raw_200[[#This Row],[Costo_Unitario]]*ventas_raw_200[[#This Row],[Cantidad_Auditada]]</f>
        <v>100800</v>
      </c>
      <c r="T124">
        <f>ventas_raw_200[[#This Row],[Total_Venta]]-ventas_raw_200[[#This Row],[Total_Costo]]</f>
        <v>77700</v>
      </c>
      <c r="U124" s="3" cm="1">
        <f t="array" ref="U124">_xlfn.IFS(AND(G124&gt;25000,I124="Corrientes"),O124*G124*0.06,G124&gt;25000,O124*G124*0.04,TRUE,O124*G124*0.02)</f>
        <v>3570</v>
      </c>
    </row>
    <row r="125" spans="1:21" x14ac:dyDescent="0.25">
      <c r="A125" t="s">
        <v>178</v>
      </c>
      <c r="B125" s="1">
        <v>46088</v>
      </c>
      <c r="C125" t="s">
        <v>19</v>
      </c>
      <c r="D125" t="s">
        <v>69</v>
      </c>
      <c r="E125" t="s">
        <v>26</v>
      </c>
      <c r="F125">
        <v>16</v>
      </c>
      <c r="G125">
        <v>9200</v>
      </c>
      <c r="H125">
        <v>5500</v>
      </c>
      <c r="I125" t="str">
        <f>PROPER(TRIM(ventas_raw_200[[#This Row],[Sucursal]]))</f>
        <v>Resistencia</v>
      </c>
      <c r="J125" t="str">
        <f>PROPER(TRIM(ventas_raw_200[[#This Row],[Vendedor]]))</f>
        <v>Carlos Ruiz</v>
      </c>
      <c r="K125" t="str">
        <f>PROPER(TRIM(ventas_raw_200[[#This Row],[Producto]]))</f>
        <v>Correa Reforzada Canina 3M</v>
      </c>
      <c r="L125">
        <f>LEN(ventas_raw_200[[#This Row],[ID_Transaccion]])</f>
        <v>8</v>
      </c>
      <c r="M125" t="str">
        <f>TRIM(ventas_raw_200[[#This Row],[ID_Transaccion]])</f>
        <v>TRX-1124</v>
      </c>
      <c r="N125">
        <f>LEN(ventas_raw_200[[#This Row],[ID_Transaccion_Limpio]])</f>
        <v>8</v>
      </c>
      <c r="O125" s="2">
        <f>IFERROR(IF(ventas_raw_200[[#This Row],[Cantidad]]&lt;0,1,ventas_raw_200[[#This Row],[Cantidad]]),1)</f>
        <v>16</v>
      </c>
      <c r="P125" t="str">
        <f>IFERROR(_xlfn.XLOOKUP(K125,maestro_productos_15!$B$2:$B$16,maestro_productos_15!$C$2:$C$16),"No encontrada")</f>
        <v>Mascotas</v>
      </c>
      <c r="Q125" t="str">
        <f>IFERROR(_xlfn.XLOOKUP(K125,maestro_productos_15!$B$2:$B$16,maestro_productos_15!$D$2:$D$16),"No encontrada")</f>
        <v>PetStyle Litoral</v>
      </c>
      <c r="R125">
        <f>ventas_raw_200[[#This Row],[Precio_Unitario]]*ventas_raw_200[[#This Row],[Cantidad_Auditada]]</f>
        <v>147200</v>
      </c>
      <c r="S125">
        <f>ventas_raw_200[[#This Row],[Costo_Unitario]]*ventas_raw_200[[#This Row],[Cantidad_Auditada]]</f>
        <v>88000</v>
      </c>
      <c r="T125">
        <f>ventas_raw_200[[#This Row],[Total_Venta]]-ventas_raw_200[[#This Row],[Total_Costo]]</f>
        <v>59200</v>
      </c>
      <c r="U125" s="3" cm="1">
        <f t="array" ref="U125">_xlfn.IFS(AND(G125&gt;25000,I125="Corrientes"),O125*G125*0.06,G125&gt;25000,O125*G125*0.04,TRUE,O125*G125*0.02)</f>
        <v>2944</v>
      </c>
    </row>
    <row r="126" spans="1:21" x14ac:dyDescent="0.25">
      <c r="A126" t="s">
        <v>179</v>
      </c>
      <c r="B126" s="1">
        <v>46023</v>
      </c>
      <c r="C126" t="s">
        <v>23</v>
      </c>
      <c r="D126" t="s">
        <v>10</v>
      </c>
      <c r="E126" t="s">
        <v>53</v>
      </c>
      <c r="F126">
        <v>18</v>
      </c>
      <c r="G126">
        <v>15000</v>
      </c>
      <c r="H126">
        <v>9500</v>
      </c>
      <c r="I126" t="str">
        <f>PROPER(TRIM(ventas_raw_200[[#This Row],[Sucursal]]))</f>
        <v>Corrientes</v>
      </c>
      <c r="J126" t="str">
        <f>PROPER(TRIM(ventas_raw_200[[#This Row],[Vendedor]]))</f>
        <v>Ana Martinez</v>
      </c>
      <c r="K126" t="str">
        <f>PROPER(TRIM(ventas_raw_200[[#This Row],[Producto]]))</f>
        <v>Mouse Inalámbrico Ergonómico</v>
      </c>
      <c r="L126">
        <f>LEN(ventas_raw_200[[#This Row],[ID_Transaccion]])</f>
        <v>8</v>
      </c>
      <c r="M126" t="str">
        <f>TRIM(ventas_raw_200[[#This Row],[ID_Transaccion]])</f>
        <v>TRX-1125</v>
      </c>
      <c r="N126">
        <f>LEN(ventas_raw_200[[#This Row],[ID_Transaccion_Limpio]])</f>
        <v>8</v>
      </c>
      <c r="O126" s="2">
        <f>IFERROR(IF(ventas_raw_200[[#This Row],[Cantidad]]&lt;0,1,ventas_raw_200[[#This Row],[Cantidad]]),1)</f>
        <v>18</v>
      </c>
      <c r="P126" t="str">
        <f>IFERROR(_xlfn.XLOOKUP(K126,maestro_productos_15!$B$2:$B$16,maestro_productos_15!$C$2:$C$16),"No encontrada")</f>
        <v>Tecnología</v>
      </c>
      <c r="Q126" t="str">
        <f>IFERROR(_xlfn.XLOOKUP(K126,maestro_productos_15!$B$2:$B$16,maestro_productos_15!$D$2:$D$16),"No encontrada")</f>
        <v>TechImport S.R.L.</v>
      </c>
      <c r="R126">
        <f>ventas_raw_200[[#This Row],[Precio_Unitario]]*ventas_raw_200[[#This Row],[Cantidad_Auditada]]</f>
        <v>270000</v>
      </c>
      <c r="S126">
        <f>ventas_raw_200[[#This Row],[Costo_Unitario]]*ventas_raw_200[[#This Row],[Cantidad_Auditada]]</f>
        <v>171000</v>
      </c>
      <c r="T126">
        <f>ventas_raw_200[[#This Row],[Total_Venta]]-ventas_raw_200[[#This Row],[Total_Costo]]</f>
        <v>99000</v>
      </c>
      <c r="U126" s="3" cm="1">
        <f t="array" ref="U126">_xlfn.IFS(AND(G126&gt;25000,I126="Corrientes"),O126*G126*0.06,G126&gt;25000,O126*G126*0.04,TRUE,O126*G126*0.02)</f>
        <v>5400</v>
      </c>
    </row>
    <row r="127" spans="1:21" x14ac:dyDescent="0.25">
      <c r="A127" t="s">
        <v>180</v>
      </c>
      <c r="B127" s="1">
        <v>46049</v>
      </c>
      <c r="C127" t="s">
        <v>25</v>
      </c>
      <c r="D127" t="s">
        <v>14</v>
      </c>
      <c r="E127" t="s">
        <v>17</v>
      </c>
      <c r="F127">
        <v>4</v>
      </c>
      <c r="G127">
        <v>15000</v>
      </c>
      <c r="H127">
        <v>9500</v>
      </c>
      <c r="I127" t="str">
        <f>PROPER(TRIM(ventas_raw_200[[#This Row],[Sucursal]]))</f>
        <v>Formosa</v>
      </c>
      <c r="J127" t="str">
        <f>PROPER(TRIM(ventas_raw_200[[#This Row],[Vendedor]]))</f>
        <v>Juan Perez</v>
      </c>
      <c r="K127" t="str">
        <f>PROPER(TRIM(ventas_raw_200[[#This Row],[Producto]]))</f>
        <v>Mouse Inalámbrico Ergonómico</v>
      </c>
      <c r="L127">
        <f>LEN(ventas_raw_200[[#This Row],[ID_Transaccion]])</f>
        <v>10</v>
      </c>
      <c r="M127" t="str">
        <f>TRIM(ventas_raw_200[[#This Row],[ID_Transaccion]])</f>
        <v>TRX-1126</v>
      </c>
      <c r="N127">
        <f>LEN(ventas_raw_200[[#This Row],[ID_Transaccion_Limpio]])</f>
        <v>8</v>
      </c>
      <c r="O127" s="2">
        <f>IFERROR(IF(ventas_raw_200[[#This Row],[Cantidad]]&lt;0,1,ventas_raw_200[[#This Row],[Cantidad]]),1)</f>
        <v>4</v>
      </c>
      <c r="P127" t="str">
        <f>IFERROR(_xlfn.XLOOKUP(K127,maestro_productos_15!$B$2:$B$16,maestro_productos_15!$C$2:$C$16),"No encontrada")</f>
        <v>Tecnología</v>
      </c>
      <c r="Q127" t="str">
        <f>IFERROR(_xlfn.XLOOKUP(K127,maestro_productos_15!$B$2:$B$16,maestro_productos_15!$D$2:$D$16),"No encontrada")</f>
        <v>TechImport S.R.L.</v>
      </c>
      <c r="R127">
        <f>ventas_raw_200[[#This Row],[Precio_Unitario]]*ventas_raw_200[[#This Row],[Cantidad_Auditada]]</f>
        <v>60000</v>
      </c>
      <c r="S127">
        <f>ventas_raw_200[[#This Row],[Costo_Unitario]]*ventas_raw_200[[#This Row],[Cantidad_Auditada]]</f>
        <v>38000</v>
      </c>
      <c r="T127">
        <f>ventas_raw_200[[#This Row],[Total_Venta]]-ventas_raw_200[[#This Row],[Total_Costo]]</f>
        <v>22000</v>
      </c>
      <c r="U127" s="3" cm="1">
        <f t="array" ref="U127">_xlfn.IFS(AND(G127&gt;25000,I127="Corrientes"),O127*G127*0.06,G127&gt;25000,O127*G127*0.04,TRUE,O127*G127*0.02)</f>
        <v>1200</v>
      </c>
    </row>
    <row r="128" spans="1:21" x14ac:dyDescent="0.25">
      <c r="A128" t="s">
        <v>181</v>
      </c>
      <c r="B128" s="1">
        <v>46101</v>
      </c>
      <c r="C128" t="s">
        <v>38</v>
      </c>
      <c r="D128" t="s">
        <v>30</v>
      </c>
      <c r="E128" t="s">
        <v>62</v>
      </c>
      <c r="F128">
        <v>16</v>
      </c>
      <c r="G128">
        <v>19500</v>
      </c>
      <c r="H128">
        <v>12000</v>
      </c>
      <c r="I128" t="str">
        <f>PROPER(TRIM(ventas_raw_200[[#This Row],[Sucursal]]))</f>
        <v>Posadas</v>
      </c>
      <c r="J128" t="str">
        <f>PROPER(TRIM(ventas_raw_200[[#This Row],[Vendedor]]))</f>
        <v>Maria Gomez</v>
      </c>
      <c r="K128" t="str">
        <f>PROPER(TRIM(ventas_raw_200[[#This Row],[Producto]]))</f>
        <v>Soporte Regulable Notebook</v>
      </c>
      <c r="L128">
        <f>LEN(ventas_raw_200[[#This Row],[ID_Transaccion]])</f>
        <v>8</v>
      </c>
      <c r="M128" t="str">
        <f>TRIM(ventas_raw_200[[#This Row],[ID_Transaccion]])</f>
        <v>TRX-1127</v>
      </c>
      <c r="N128">
        <f>LEN(ventas_raw_200[[#This Row],[ID_Transaccion_Limpio]])</f>
        <v>8</v>
      </c>
      <c r="O128" s="2">
        <f>IFERROR(IF(ventas_raw_200[[#This Row],[Cantidad]]&lt;0,1,ventas_raw_200[[#This Row],[Cantidad]]),1)</f>
        <v>16</v>
      </c>
      <c r="P128" t="str">
        <f>IFERROR(_xlfn.XLOOKUP(K128,maestro_productos_15!$B$2:$B$16,maestro_productos_15!$C$2:$C$16),"No encontrada")</f>
        <v>Tecnología</v>
      </c>
      <c r="Q128" t="str">
        <f>IFERROR(_xlfn.XLOOKUP(K128,maestro_productos_15!$B$2:$B$16,maestro_productos_15!$D$2:$D$16),"No encontrada")</f>
        <v>TechImport S.R.L.</v>
      </c>
      <c r="R128">
        <f>ventas_raw_200[[#This Row],[Precio_Unitario]]*ventas_raw_200[[#This Row],[Cantidad_Auditada]]</f>
        <v>312000</v>
      </c>
      <c r="S128">
        <f>ventas_raw_200[[#This Row],[Costo_Unitario]]*ventas_raw_200[[#This Row],[Cantidad_Auditada]]</f>
        <v>192000</v>
      </c>
      <c r="T128">
        <f>ventas_raw_200[[#This Row],[Total_Venta]]-ventas_raw_200[[#This Row],[Total_Costo]]</f>
        <v>120000</v>
      </c>
      <c r="U128" s="3" cm="1">
        <f t="array" ref="U128">_xlfn.IFS(AND(G128&gt;25000,I128="Corrientes"),O128*G128*0.06,G128&gt;25000,O128*G128*0.04,TRUE,O128*G128*0.02)</f>
        <v>6240</v>
      </c>
    </row>
    <row r="129" spans="1:21" x14ac:dyDescent="0.25">
      <c r="A129" t="s">
        <v>182</v>
      </c>
      <c r="B129" s="1">
        <v>46110</v>
      </c>
      <c r="C129" t="s">
        <v>23</v>
      </c>
      <c r="D129" t="s">
        <v>49</v>
      </c>
      <c r="E129" t="s">
        <v>28</v>
      </c>
      <c r="F129">
        <v>5</v>
      </c>
      <c r="G129">
        <v>35000</v>
      </c>
      <c r="H129">
        <v>24000</v>
      </c>
      <c r="I129" t="str">
        <f>PROPER(TRIM(ventas_raw_200[[#This Row],[Sucursal]]))</f>
        <v>Corrientes</v>
      </c>
      <c r="J129" t="str">
        <f>PROPER(TRIM(ventas_raw_200[[#This Row],[Vendedor]]))</f>
        <v>Carlos Ruiz</v>
      </c>
      <c r="K129" t="str">
        <f>PROPER(TRIM(ventas_raw_200[[#This Row],[Producto]]))</f>
        <v>Alimento Perro Adulto 15Kg</v>
      </c>
      <c r="L129">
        <f>LEN(ventas_raw_200[[#This Row],[ID_Transaccion]])</f>
        <v>8</v>
      </c>
      <c r="M129" t="str">
        <f>TRIM(ventas_raw_200[[#This Row],[ID_Transaccion]])</f>
        <v>TRX-1128</v>
      </c>
      <c r="N129">
        <f>LEN(ventas_raw_200[[#This Row],[ID_Transaccion_Limpio]])</f>
        <v>8</v>
      </c>
      <c r="O129" s="2">
        <f>IFERROR(IF(ventas_raw_200[[#This Row],[Cantidad]]&lt;0,1,ventas_raw_200[[#This Row],[Cantidad]]),1)</f>
        <v>5</v>
      </c>
      <c r="P129" t="str">
        <f>IFERROR(_xlfn.XLOOKUP(K129,maestro_productos_15!$B$2:$B$16,maestro_productos_15!$C$2:$C$16),"No encontrada")</f>
        <v>Mascotas</v>
      </c>
      <c r="Q129" t="str">
        <f>IFERROR(_xlfn.XLOOKUP(K129,maestro_productos_15!$B$2:$B$16,maestro_productos_15!$D$2:$D$16),"No encontrada")</f>
        <v>NutriDog Arg</v>
      </c>
      <c r="R129">
        <f>ventas_raw_200[[#This Row],[Precio_Unitario]]*ventas_raw_200[[#This Row],[Cantidad_Auditada]]</f>
        <v>175000</v>
      </c>
      <c r="S129">
        <f>ventas_raw_200[[#This Row],[Costo_Unitario]]*ventas_raw_200[[#This Row],[Cantidad_Auditada]]</f>
        <v>120000</v>
      </c>
      <c r="T129">
        <f>ventas_raw_200[[#This Row],[Total_Venta]]-ventas_raw_200[[#This Row],[Total_Costo]]</f>
        <v>55000</v>
      </c>
      <c r="U129" s="3" cm="1">
        <f t="array" ref="U129">_xlfn.IFS(AND(G129&gt;25000,I129="Corrientes"),O129*G129*0.06,G129&gt;25000,O129*G129*0.04,TRUE,O129*G129*0.02)</f>
        <v>10500</v>
      </c>
    </row>
    <row r="130" spans="1:21" x14ac:dyDescent="0.25">
      <c r="A130" t="s">
        <v>183</v>
      </c>
      <c r="B130" s="1">
        <v>46045</v>
      </c>
      <c r="C130" t="s">
        <v>25</v>
      </c>
      <c r="D130" t="s">
        <v>49</v>
      </c>
      <c r="E130" t="s">
        <v>34</v>
      </c>
      <c r="F130">
        <v>1</v>
      </c>
      <c r="G130">
        <v>22000</v>
      </c>
      <c r="H130">
        <v>14000</v>
      </c>
      <c r="I130" t="str">
        <f>PROPER(TRIM(ventas_raw_200[[#This Row],[Sucursal]]))</f>
        <v>Formosa</v>
      </c>
      <c r="J130" t="str">
        <f>PROPER(TRIM(ventas_raw_200[[#This Row],[Vendedor]]))</f>
        <v>Carlos Ruiz</v>
      </c>
      <c r="K130" t="str">
        <f>PROPER(TRIM(ventas_raw_200[[#This Row],[Producto]]))</f>
        <v>Cargador Rápido Usb-C 65W</v>
      </c>
      <c r="L130">
        <f>LEN(ventas_raw_200[[#This Row],[ID_Transaccion]])</f>
        <v>8</v>
      </c>
      <c r="M130" t="str">
        <f>TRIM(ventas_raw_200[[#This Row],[ID_Transaccion]])</f>
        <v>TRX-1129</v>
      </c>
      <c r="N130">
        <f>LEN(ventas_raw_200[[#This Row],[ID_Transaccion_Limpio]])</f>
        <v>8</v>
      </c>
      <c r="O130" s="2">
        <f>IFERROR(IF(ventas_raw_200[[#This Row],[Cantidad]]&lt;0,1,ventas_raw_200[[#This Row],[Cantidad]]),1)</f>
        <v>1</v>
      </c>
      <c r="P130" t="str">
        <f>IFERROR(_xlfn.XLOOKUP(K130,maestro_productos_15!$B$2:$B$16,maestro_productos_15!$C$2:$C$16),"No encontrada")</f>
        <v>Tecnología</v>
      </c>
      <c r="Q130" t="str">
        <f>IFERROR(_xlfn.XLOOKUP(K130,maestro_productos_15!$B$2:$B$16,maestro_productos_15!$D$2:$D$16),"No encontrada")</f>
        <v>TechImport S.R.L.</v>
      </c>
      <c r="R130">
        <f>ventas_raw_200[[#This Row],[Precio_Unitario]]*ventas_raw_200[[#This Row],[Cantidad_Auditada]]</f>
        <v>22000</v>
      </c>
      <c r="S130">
        <f>ventas_raw_200[[#This Row],[Costo_Unitario]]*ventas_raw_200[[#This Row],[Cantidad_Auditada]]</f>
        <v>14000</v>
      </c>
      <c r="T130">
        <f>ventas_raw_200[[#This Row],[Total_Venta]]-ventas_raw_200[[#This Row],[Total_Costo]]</f>
        <v>8000</v>
      </c>
      <c r="U130" s="3" cm="1">
        <f t="array" ref="U130">_xlfn.IFS(AND(G130&gt;25000,I130="Corrientes"),O130*G130*0.06,G130&gt;25000,O130*G130*0.04,TRUE,O130*G130*0.02)</f>
        <v>440</v>
      </c>
    </row>
    <row r="131" spans="1:21" x14ac:dyDescent="0.25">
      <c r="A131" t="s">
        <v>184</v>
      </c>
      <c r="B131" s="1">
        <v>46101</v>
      </c>
      <c r="C131" t="s">
        <v>38</v>
      </c>
      <c r="D131" t="s">
        <v>69</v>
      </c>
      <c r="E131" t="s">
        <v>36</v>
      </c>
      <c r="F131">
        <v>15</v>
      </c>
      <c r="G131">
        <v>3100</v>
      </c>
      <c r="H131">
        <v>1800</v>
      </c>
      <c r="I131" t="str">
        <f>PROPER(TRIM(ventas_raw_200[[#This Row],[Sucursal]]))</f>
        <v>Posadas</v>
      </c>
      <c r="J131" t="str">
        <f>PROPER(TRIM(ventas_raw_200[[#This Row],[Vendedor]]))</f>
        <v>Carlos Ruiz</v>
      </c>
      <c r="K131" t="str">
        <f>PROPER(TRIM(ventas_raw_200[[#This Row],[Producto]]))</f>
        <v>Snack Premios Perro 250G</v>
      </c>
      <c r="L131">
        <f>LEN(ventas_raw_200[[#This Row],[ID_Transaccion]])</f>
        <v>8</v>
      </c>
      <c r="M131" t="str">
        <f>TRIM(ventas_raw_200[[#This Row],[ID_Transaccion]])</f>
        <v>TRX-1130</v>
      </c>
      <c r="N131">
        <f>LEN(ventas_raw_200[[#This Row],[ID_Transaccion_Limpio]])</f>
        <v>8</v>
      </c>
      <c r="O131" s="2">
        <f>IFERROR(IF(ventas_raw_200[[#This Row],[Cantidad]]&lt;0,1,ventas_raw_200[[#This Row],[Cantidad]]),1)</f>
        <v>15</v>
      </c>
      <c r="P131" t="str">
        <f>IFERROR(_xlfn.XLOOKUP(K131,maestro_productos_15!$B$2:$B$16,maestro_productos_15!$C$2:$C$16),"No encontrada")</f>
        <v>Mascotas</v>
      </c>
      <c r="Q131" t="str">
        <f>IFERROR(_xlfn.XLOOKUP(K131,maestro_productos_15!$B$2:$B$16,maestro_productos_15!$D$2:$D$16),"No encontrada")</f>
        <v>NutriDog Arg</v>
      </c>
      <c r="R131">
        <f>ventas_raw_200[[#This Row],[Precio_Unitario]]*ventas_raw_200[[#This Row],[Cantidad_Auditada]]</f>
        <v>46500</v>
      </c>
      <c r="S131">
        <f>ventas_raw_200[[#This Row],[Costo_Unitario]]*ventas_raw_200[[#This Row],[Cantidad_Auditada]]</f>
        <v>27000</v>
      </c>
      <c r="T131">
        <f>ventas_raw_200[[#This Row],[Total_Venta]]-ventas_raw_200[[#This Row],[Total_Costo]]</f>
        <v>19500</v>
      </c>
      <c r="U131" s="3" cm="1">
        <f t="array" ref="U131">_xlfn.IFS(AND(G131&gt;25000,I131="Corrientes"),O131*G131*0.06,G131&gt;25000,O131*G131*0.04,TRUE,O131*G131*0.02)</f>
        <v>930</v>
      </c>
    </row>
    <row r="132" spans="1:21" x14ac:dyDescent="0.25">
      <c r="A132" t="s">
        <v>185</v>
      </c>
      <c r="B132" s="1">
        <v>46067</v>
      </c>
      <c r="C132" t="s">
        <v>56</v>
      </c>
      <c r="D132" t="s">
        <v>69</v>
      </c>
      <c r="E132" t="s">
        <v>109</v>
      </c>
      <c r="F132">
        <v>7</v>
      </c>
      <c r="G132">
        <v>9200</v>
      </c>
      <c r="H132">
        <v>5500</v>
      </c>
      <c r="I132" t="str">
        <f>PROPER(TRIM(ventas_raw_200[[#This Row],[Sucursal]]))</f>
        <v>Resistencia</v>
      </c>
      <c r="J132" t="str">
        <f>PROPER(TRIM(ventas_raw_200[[#This Row],[Vendedor]]))</f>
        <v>Carlos Ruiz</v>
      </c>
      <c r="K132" t="str">
        <f>PROPER(TRIM(ventas_raw_200[[#This Row],[Producto]]))</f>
        <v>Correa Reforzada Canina 3M</v>
      </c>
      <c r="L132">
        <f>LEN(ventas_raw_200[[#This Row],[ID_Transaccion]])</f>
        <v>8</v>
      </c>
      <c r="M132" t="str">
        <f>TRIM(ventas_raw_200[[#This Row],[ID_Transaccion]])</f>
        <v>TRX-1131</v>
      </c>
      <c r="N132">
        <f>LEN(ventas_raw_200[[#This Row],[ID_Transaccion_Limpio]])</f>
        <v>8</v>
      </c>
      <c r="O132" s="2">
        <f>IFERROR(IF(ventas_raw_200[[#This Row],[Cantidad]]&lt;0,1,ventas_raw_200[[#This Row],[Cantidad]]),1)</f>
        <v>7</v>
      </c>
      <c r="P132" t="str">
        <f>IFERROR(_xlfn.XLOOKUP(K132,maestro_productos_15!$B$2:$B$16,maestro_productos_15!$C$2:$C$16),"No encontrada")</f>
        <v>Mascotas</v>
      </c>
      <c r="Q132" t="str">
        <f>IFERROR(_xlfn.XLOOKUP(K132,maestro_productos_15!$B$2:$B$16,maestro_productos_15!$D$2:$D$16),"No encontrada")</f>
        <v>PetStyle Litoral</v>
      </c>
      <c r="R132">
        <f>ventas_raw_200[[#This Row],[Precio_Unitario]]*ventas_raw_200[[#This Row],[Cantidad_Auditada]]</f>
        <v>64400</v>
      </c>
      <c r="S132">
        <f>ventas_raw_200[[#This Row],[Costo_Unitario]]*ventas_raw_200[[#This Row],[Cantidad_Auditada]]</f>
        <v>38500</v>
      </c>
      <c r="T132">
        <f>ventas_raw_200[[#This Row],[Total_Venta]]-ventas_raw_200[[#This Row],[Total_Costo]]</f>
        <v>25900</v>
      </c>
      <c r="U132" s="3" cm="1">
        <f t="array" ref="U132">_xlfn.IFS(AND(G132&gt;25000,I132="Corrientes"),O132*G132*0.06,G132&gt;25000,O132*G132*0.04,TRUE,O132*G132*0.02)</f>
        <v>1288</v>
      </c>
    </row>
    <row r="133" spans="1:21" x14ac:dyDescent="0.25">
      <c r="A133" t="s">
        <v>186</v>
      </c>
      <c r="B133" s="1">
        <v>46037</v>
      </c>
      <c r="C133" t="s">
        <v>25</v>
      </c>
      <c r="D133" t="s">
        <v>69</v>
      </c>
      <c r="E133" t="s">
        <v>109</v>
      </c>
      <c r="F133">
        <v>24</v>
      </c>
      <c r="G133">
        <v>9200</v>
      </c>
      <c r="H133">
        <v>5500</v>
      </c>
      <c r="I133" t="str">
        <f>PROPER(TRIM(ventas_raw_200[[#This Row],[Sucursal]]))</f>
        <v>Formosa</v>
      </c>
      <c r="J133" t="str">
        <f>PROPER(TRIM(ventas_raw_200[[#This Row],[Vendedor]]))</f>
        <v>Carlos Ruiz</v>
      </c>
      <c r="K133" t="str">
        <f>PROPER(TRIM(ventas_raw_200[[#This Row],[Producto]]))</f>
        <v>Correa Reforzada Canina 3M</v>
      </c>
      <c r="L133">
        <f>LEN(ventas_raw_200[[#This Row],[ID_Transaccion]])</f>
        <v>8</v>
      </c>
      <c r="M133" t="str">
        <f>TRIM(ventas_raw_200[[#This Row],[ID_Transaccion]])</f>
        <v>TRX-1132</v>
      </c>
      <c r="N133">
        <f>LEN(ventas_raw_200[[#This Row],[ID_Transaccion_Limpio]])</f>
        <v>8</v>
      </c>
      <c r="O133" s="2">
        <f>IFERROR(IF(ventas_raw_200[[#This Row],[Cantidad]]&lt;0,1,ventas_raw_200[[#This Row],[Cantidad]]),1)</f>
        <v>24</v>
      </c>
      <c r="P133" t="str">
        <f>IFERROR(_xlfn.XLOOKUP(K133,maestro_productos_15!$B$2:$B$16,maestro_productos_15!$C$2:$C$16),"No encontrada")</f>
        <v>Mascotas</v>
      </c>
      <c r="Q133" t="str">
        <f>IFERROR(_xlfn.XLOOKUP(K133,maestro_productos_15!$B$2:$B$16,maestro_productos_15!$D$2:$D$16),"No encontrada")</f>
        <v>PetStyle Litoral</v>
      </c>
      <c r="R133">
        <f>ventas_raw_200[[#This Row],[Precio_Unitario]]*ventas_raw_200[[#This Row],[Cantidad_Auditada]]</f>
        <v>220800</v>
      </c>
      <c r="S133">
        <f>ventas_raw_200[[#This Row],[Costo_Unitario]]*ventas_raw_200[[#This Row],[Cantidad_Auditada]]</f>
        <v>132000</v>
      </c>
      <c r="T133">
        <f>ventas_raw_200[[#This Row],[Total_Venta]]-ventas_raw_200[[#This Row],[Total_Costo]]</f>
        <v>88800</v>
      </c>
      <c r="U133" s="3" cm="1">
        <f t="array" ref="U133">_xlfn.IFS(AND(G133&gt;25000,I133="Corrientes"),O133*G133*0.06,G133&gt;25000,O133*G133*0.04,TRUE,O133*G133*0.02)</f>
        <v>4416</v>
      </c>
    </row>
    <row r="134" spans="1:21" x14ac:dyDescent="0.25">
      <c r="A134" t="s">
        <v>187</v>
      </c>
      <c r="B134" s="1">
        <v>46066</v>
      </c>
      <c r="C134" t="s">
        <v>38</v>
      </c>
      <c r="D134" t="s">
        <v>20</v>
      </c>
      <c r="E134" t="s">
        <v>188</v>
      </c>
      <c r="F134">
        <v>5</v>
      </c>
      <c r="G134">
        <v>45000</v>
      </c>
      <c r="H134">
        <v>30000</v>
      </c>
      <c r="I134" t="str">
        <f>PROPER(TRIM(ventas_raw_200[[#This Row],[Sucursal]]))</f>
        <v>Posadas</v>
      </c>
      <c r="J134" t="str">
        <f>PROPER(TRIM(ventas_raw_200[[#This Row],[Vendedor]]))</f>
        <v>Ana Martinez</v>
      </c>
      <c r="K134" t="str">
        <f>PROPER(TRIM(ventas_raw_200[[#This Row],[Producto]]))</f>
        <v>Teclado Mecánico Rgb</v>
      </c>
      <c r="L134">
        <f>LEN(ventas_raw_200[[#This Row],[ID_Transaccion]])</f>
        <v>8</v>
      </c>
      <c r="M134" t="str">
        <f>TRIM(ventas_raw_200[[#This Row],[ID_Transaccion]])</f>
        <v>TRX-1133</v>
      </c>
      <c r="N134">
        <f>LEN(ventas_raw_200[[#This Row],[ID_Transaccion_Limpio]])</f>
        <v>8</v>
      </c>
      <c r="O134" s="2">
        <f>IFERROR(IF(ventas_raw_200[[#This Row],[Cantidad]]&lt;0,1,ventas_raw_200[[#This Row],[Cantidad]]),1)</f>
        <v>5</v>
      </c>
      <c r="P134" t="str">
        <f>IFERROR(_xlfn.XLOOKUP(K134,maestro_productos_15!$B$2:$B$16,maestro_productos_15!$C$2:$C$16),"No encontrada")</f>
        <v>Tecnología</v>
      </c>
      <c r="Q134" t="str">
        <f>IFERROR(_xlfn.XLOOKUP(K134,maestro_productos_15!$B$2:$B$16,maestro_productos_15!$D$2:$D$16),"No encontrada")</f>
        <v>TechImport S.R.L.</v>
      </c>
      <c r="R134">
        <f>ventas_raw_200[[#This Row],[Precio_Unitario]]*ventas_raw_200[[#This Row],[Cantidad_Auditada]]</f>
        <v>225000</v>
      </c>
      <c r="S134">
        <f>ventas_raw_200[[#This Row],[Costo_Unitario]]*ventas_raw_200[[#This Row],[Cantidad_Auditada]]</f>
        <v>150000</v>
      </c>
      <c r="T134">
        <f>ventas_raw_200[[#This Row],[Total_Venta]]-ventas_raw_200[[#This Row],[Total_Costo]]</f>
        <v>75000</v>
      </c>
      <c r="U134" s="3" cm="1">
        <f t="array" ref="U134">_xlfn.IFS(AND(G134&gt;25000,I134="Corrientes"),O134*G134*0.06,G134&gt;25000,O134*G134*0.04,TRUE,O134*G134*0.02)</f>
        <v>9000</v>
      </c>
    </row>
    <row r="135" spans="1:21" x14ac:dyDescent="0.25">
      <c r="A135" t="s">
        <v>189</v>
      </c>
      <c r="B135" s="1">
        <v>46050</v>
      </c>
      <c r="C135" t="s">
        <v>19</v>
      </c>
      <c r="D135" t="s">
        <v>20</v>
      </c>
      <c r="E135" t="s">
        <v>99</v>
      </c>
      <c r="F135">
        <v>15</v>
      </c>
      <c r="G135">
        <v>18500</v>
      </c>
      <c r="H135">
        <v>12500</v>
      </c>
      <c r="I135" t="str">
        <f>PROPER(TRIM(ventas_raw_200[[#This Row],[Sucursal]]))</f>
        <v>Resistencia</v>
      </c>
      <c r="J135" t="str">
        <f>PROPER(TRIM(ventas_raw_200[[#This Row],[Vendedor]]))</f>
        <v>Ana Martinez</v>
      </c>
      <c r="K135" t="str">
        <f>PROPER(TRIM(ventas_raw_200[[#This Row],[Producto]]))</f>
        <v>Café En Grano Intenso 1Kg</v>
      </c>
      <c r="L135">
        <f>LEN(ventas_raw_200[[#This Row],[ID_Transaccion]])</f>
        <v>8</v>
      </c>
      <c r="M135" t="str">
        <f>TRIM(ventas_raw_200[[#This Row],[ID_Transaccion]])</f>
        <v>TRX-1134</v>
      </c>
      <c r="N135">
        <f>LEN(ventas_raw_200[[#This Row],[ID_Transaccion_Limpio]])</f>
        <v>8</v>
      </c>
      <c r="O135" s="2">
        <f>IFERROR(IF(ventas_raw_200[[#This Row],[Cantidad]]&lt;0,1,ventas_raw_200[[#This Row],[Cantidad]]),1)</f>
        <v>15</v>
      </c>
      <c r="P135" t="str">
        <f>IFERROR(_xlfn.XLOOKUP(K135,maestro_productos_15!$B$2:$B$16,maestro_productos_15!$C$2:$C$16),"No encontrada")</f>
        <v>Alimentos</v>
      </c>
      <c r="Q135" t="str">
        <f>IFERROR(_xlfn.XLOOKUP(K135,maestro_productos_15!$B$2:$B$16,maestro_productos_15!$D$2:$D$16),"No encontrada")</f>
        <v>Distribuidora del Nordeste</v>
      </c>
      <c r="R135">
        <f>ventas_raw_200[[#This Row],[Precio_Unitario]]*ventas_raw_200[[#This Row],[Cantidad_Auditada]]</f>
        <v>277500</v>
      </c>
      <c r="S135">
        <f>ventas_raw_200[[#This Row],[Costo_Unitario]]*ventas_raw_200[[#This Row],[Cantidad_Auditada]]</f>
        <v>187500</v>
      </c>
      <c r="T135">
        <f>ventas_raw_200[[#This Row],[Total_Venta]]-ventas_raw_200[[#This Row],[Total_Costo]]</f>
        <v>90000</v>
      </c>
      <c r="U135" s="3" cm="1">
        <f t="array" ref="U135">_xlfn.IFS(AND(G135&gt;25000,I135="Corrientes"),O135*G135*0.06,G135&gt;25000,O135*G135*0.04,TRUE,O135*G135*0.02)</f>
        <v>5550</v>
      </c>
    </row>
    <row r="136" spans="1:21" x14ac:dyDescent="0.25">
      <c r="A136" t="s">
        <v>190</v>
      </c>
      <c r="B136" s="1">
        <v>46024</v>
      </c>
      <c r="C136" t="s">
        <v>23</v>
      </c>
      <c r="D136" t="s">
        <v>69</v>
      </c>
      <c r="E136" t="s">
        <v>191</v>
      </c>
      <c r="F136">
        <v>5</v>
      </c>
      <c r="G136">
        <v>19500</v>
      </c>
      <c r="H136">
        <v>12000</v>
      </c>
      <c r="I136" t="str">
        <f>PROPER(TRIM(ventas_raw_200[[#This Row],[Sucursal]]))</f>
        <v>Corrientes</v>
      </c>
      <c r="J136" t="str">
        <f>PROPER(TRIM(ventas_raw_200[[#This Row],[Vendedor]]))</f>
        <v>Carlos Ruiz</v>
      </c>
      <c r="K136" t="str">
        <f>PROPER(TRIM(ventas_raw_200[[#This Row],[Producto]]))</f>
        <v>Soporte Regulable Notebook</v>
      </c>
      <c r="L136">
        <f>LEN(ventas_raw_200[[#This Row],[ID_Transaccion]])</f>
        <v>10</v>
      </c>
      <c r="M136" t="str">
        <f>TRIM(ventas_raw_200[[#This Row],[ID_Transaccion]])</f>
        <v>TRX-1135</v>
      </c>
      <c r="N136">
        <f>LEN(ventas_raw_200[[#This Row],[ID_Transaccion_Limpio]])</f>
        <v>8</v>
      </c>
      <c r="O136" s="2">
        <f>IFERROR(IF(ventas_raw_200[[#This Row],[Cantidad]]&lt;0,1,ventas_raw_200[[#This Row],[Cantidad]]),1)</f>
        <v>5</v>
      </c>
      <c r="P136" t="str">
        <f>IFERROR(_xlfn.XLOOKUP(K136,maestro_productos_15!$B$2:$B$16,maestro_productos_15!$C$2:$C$16),"No encontrada")</f>
        <v>Tecnología</v>
      </c>
      <c r="Q136" t="str">
        <f>IFERROR(_xlfn.XLOOKUP(K136,maestro_productos_15!$B$2:$B$16,maestro_productos_15!$D$2:$D$16),"No encontrada")</f>
        <v>TechImport S.R.L.</v>
      </c>
      <c r="R136">
        <f>ventas_raw_200[[#This Row],[Precio_Unitario]]*ventas_raw_200[[#This Row],[Cantidad_Auditada]]</f>
        <v>97500</v>
      </c>
      <c r="S136">
        <f>ventas_raw_200[[#This Row],[Costo_Unitario]]*ventas_raw_200[[#This Row],[Cantidad_Auditada]]</f>
        <v>60000</v>
      </c>
      <c r="T136">
        <f>ventas_raw_200[[#This Row],[Total_Venta]]-ventas_raw_200[[#This Row],[Total_Costo]]</f>
        <v>37500</v>
      </c>
      <c r="U136" s="3" cm="1">
        <f t="array" ref="U136">_xlfn.IFS(AND(G136&gt;25000,I136="Corrientes"),O136*G136*0.06,G136&gt;25000,O136*G136*0.04,TRUE,O136*G136*0.02)</f>
        <v>1950</v>
      </c>
    </row>
    <row r="137" spans="1:21" x14ac:dyDescent="0.25">
      <c r="A137" t="s">
        <v>192</v>
      </c>
      <c r="B137" s="1">
        <v>46037</v>
      </c>
      <c r="C137" t="s">
        <v>38</v>
      </c>
      <c r="D137" t="s">
        <v>69</v>
      </c>
      <c r="E137" t="s">
        <v>74</v>
      </c>
      <c r="F137">
        <v>11</v>
      </c>
      <c r="G137">
        <v>28000</v>
      </c>
      <c r="H137">
        <v>18000</v>
      </c>
      <c r="I137" t="str">
        <f>PROPER(TRIM(ventas_raw_200[[#This Row],[Sucursal]]))</f>
        <v>Posadas</v>
      </c>
      <c r="J137" t="str">
        <f>PROPER(TRIM(ventas_raw_200[[#This Row],[Vendedor]]))</f>
        <v>Carlos Ruiz</v>
      </c>
      <c r="K137" t="str">
        <f>PROPER(TRIM(ventas_raw_200[[#This Row],[Producto]]))</f>
        <v>Auriculares Bluetooth Pro</v>
      </c>
      <c r="L137">
        <f>LEN(ventas_raw_200[[#This Row],[ID_Transaccion]])</f>
        <v>8</v>
      </c>
      <c r="M137" t="str">
        <f>TRIM(ventas_raw_200[[#This Row],[ID_Transaccion]])</f>
        <v>TRX-1136</v>
      </c>
      <c r="N137">
        <f>LEN(ventas_raw_200[[#This Row],[ID_Transaccion_Limpio]])</f>
        <v>8</v>
      </c>
      <c r="O137" s="2">
        <f>IFERROR(IF(ventas_raw_200[[#This Row],[Cantidad]]&lt;0,1,ventas_raw_200[[#This Row],[Cantidad]]),1)</f>
        <v>11</v>
      </c>
      <c r="P137" t="str">
        <f>IFERROR(_xlfn.XLOOKUP(K137,maestro_productos_15!$B$2:$B$16,maestro_productos_15!$C$2:$C$16),"No encontrada")</f>
        <v>Tecnología</v>
      </c>
      <c r="Q137" t="str">
        <f>IFERROR(_xlfn.XLOOKUP(K137,maestro_productos_15!$B$2:$B$16,maestro_productos_15!$D$2:$D$16),"No encontrada")</f>
        <v>TechImport S.R.L.</v>
      </c>
      <c r="R137">
        <f>ventas_raw_200[[#This Row],[Precio_Unitario]]*ventas_raw_200[[#This Row],[Cantidad_Auditada]]</f>
        <v>308000</v>
      </c>
      <c r="S137">
        <f>ventas_raw_200[[#This Row],[Costo_Unitario]]*ventas_raw_200[[#This Row],[Cantidad_Auditada]]</f>
        <v>198000</v>
      </c>
      <c r="T137">
        <f>ventas_raw_200[[#This Row],[Total_Venta]]-ventas_raw_200[[#This Row],[Total_Costo]]</f>
        <v>110000</v>
      </c>
      <c r="U137" s="3" cm="1">
        <f t="array" ref="U137">_xlfn.IFS(AND(G137&gt;25000,I137="Corrientes"),O137*G137*0.06,G137&gt;25000,O137*G137*0.04,TRUE,O137*G137*0.02)</f>
        <v>12320</v>
      </c>
    </row>
    <row r="138" spans="1:21" x14ac:dyDescent="0.25">
      <c r="A138" t="s">
        <v>193</v>
      </c>
      <c r="B138" s="1">
        <v>46060</v>
      </c>
      <c r="C138" t="s">
        <v>38</v>
      </c>
      <c r="D138" t="s">
        <v>10</v>
      </c>
      <c r="E138" t="s">
        <v>194</v>
      </c>
      <c r="F138">
        <v>16</v>
      </c>
      <c r="G138">
        <v>3800</v>
      </c>
      <c r="H138">
        <v>2500</v>
      </c>
      <c r="I138" t="str">
        <f>PROPER(TRIM(ventas_raw_200[[#This Row],[Sucursal]]))</f>
        <v>Posadas</v>
      </c>
      <c r="J138" t="str">
        <f>PROPER(TRIM(ventas_raw_200[[#This Row],[Vendedor]]))</f>
        <v>Ana Martinez</v>
      </c>
      <c r="K138" t="str">
        <f>PROPER(TRIM(ventas_raw_200[[#This Row],[Producto]]))</f>
        <v>Yerba Mate Premium 1Kg</v>
      </c>
      <c r="L138">
        <f>LEN(ventas_raw_200[[#This Row],[ID_Transaccion]])</f>
        <v>8</v>
      </c>
      <c r="M138" t="str">
        <f>TRIM(ventas_raw_200[[#This Row],[ID_Transaccion]])</f>
        <v>TRX-1137</v>
      </c>
      <c r="N138">
        <f>LEN(ventas_raw_200[[#This Row],[ID_Transaccion_Limpio]])</f>
        <v>8</v>
      </c>
      <c r="O138" s="2">
        <f>IFERROR(IF(ventas_raw_200[[#This Row],[Cantidad]]&lt;0,1,ventas_raw_200[[#This Row],[Cantidad]]),1)</f>
        <v>16</v>
      </c>
      <c r="P138" t="str">
        <f>IFERROR(_xlfn.XLOOKUP(K138,maestro_productos_15!$B$2:$B$16,maestro_productos_15!$C$2:$C$16),"No encontrada")</f>
        <v>Alimentos</v>
      </c>
      <c r="Q138" t="str">
        <f>IFERROR(_xlfn.XLOOKUP(K138,maestro_productos_15!$B$2:$B$16,maestro_productos_15!$D$2:$D$16),"No encontrada")</f>
        <v>Cooperativa Neike</v>
      </c>
      <c r="R138">
        <f>ventas_raw_200[[#This Row],[Precio_Unitario]]*ventas_raw_200[[#This Row],[Cantidad_Auditada]]</f>
        <v>60800</v>
      </c>
      <c r="S138">
        <f>ventas_raw_200[[#This Row],[Costo_Unitario]]*ventas_raw_200[[#This Row],[Cantidad_Auditada]]</f>
        <v>40000</v>
      </c>
      <c r="T138">
        <f>ventas_raw_200[[#This Row],[Total_Venta]]-ventas_raw_200[[#This Row],[Total_Costo]]</f>
        <v>20800</v>
      </c>
      <c r="U138" s="3" cm="1">
        <f t="array" ref="U138">_xlfn.IFS(AND(G138&gt;25000,I138="Corrientes"),O138*G138*0.06,G138&gt;25000,O138*G138*0.04,TRUE,O138*G138*0.02)</f>
        <v>1216</v>
      </c>
    </row>
    <row r="139" spans="1:21" x14ac:dyDescent="0.25">
      <c r="A139" t="s">
        <v>195</v>
      </c>
      <c r="B139" s="1">
        <v>46044</v>
      </c>
      <c r="C139" t="s">
        <v>38</v>
      </c>
      <c r="D139" t="s">
        <v>30</v>
      </c>
      <c r="E139" t="s">
        <v>99</v>
      </c>
      <c r="F139">
        <v>24</v>
      </c>
      <c r="G139">
        <v>18500</v>
      </c>
      <c r="H139">
        <v>12500</v>
      </c>
      <c r="I139" t="str">
        <f>PROPER(TRIM(ventas_raw_200[[#This Row],[Sucursal]]))</f>
        <v>Posadas</v>
      </c>
      <c r="J139" t="str">
        <f>PROPER(TRIM(ventas_raw_200[[#This Row],[Vendedor]]))</f>
        <v>Maria Gomez</v>
      </c>
      <c r="K139" t="str">
        <f>PROPER(TRIM(ventas_raw_200[[#This Row],[Producto]]))</f>
        <v>Café En Grano Intenso 1Kg</v>
      </c>
      <c r="L139">
        <f>LEN(ventas_raw_200[[#This Row],[ID_Transaccion]])</f>
        <v>8</v>
      </c>
      <c r="M139" t="str">
        <f>TRIM(ventas_raw_200[[#This Row],[ID_Transaccion]])</f>
        <v>TRX-1138</v>
      </c>
      <c r="N139">
        <f>LEN(ventas_raw_200[[#This Row],[ID_Transaccion_Limpio]])</f>
        <v>8</v>
      </c>
      <c r="O139" s="2">
        <f>IFERROR(IF(ventas_raw_200[[#This Row],[Cantidad]]&lt;0,1,ventas_raw_200[[#This Row],[Cantidad]]),1)</f>
        <v>24</v>
      </c>
      <c r="P139" t="str">
        <f>IFERROR(_xlfn.XLOOKUP(K139,maestro_productos_15!$B$2:$B$16,maestro_productos_15!$C$2:$C$16),"No encontrada")</f>
        <v>Alimentos</v>
      </c>
      <c r="Q139" t="str">
        <f>IFERROR(_xlfn.XLOOKUP(K139,maestro_productos_15!$B$2:$B$16,maestro_productos_15!$D$2:$D$16),"No encontrada")</f>
        <v>Distribuidora del Nordeste</v>
      </c>
      <c r="R139">
        <f>ventas_raw_200[[#This Row],[Precio_Unitario]]*ventas_raw_200[[#This Row],[Cantidad_Auditada]]</f>
        <v>444000</v>
      </c>
      <c r="S139">
        <f>ventas_raw_200[[#This Row],[Costo_Unitario]]*ventas_raw_200[[#This Row],[Cantidad_Auditada]]</f>
        <v>300000</v>
      </c>
      <c r="T139">
        <f>ventas_raw_200[[#This Row],[Total_Venta]]-ventas_raw_200[[#This Row],[Total_Costo]]</f>
        <v>144000</v>
      </c>
      <c r="U139" s="3" cm="1">
        <f t="array" ref="U139">_xlfn.IFS(AND(G139&gt;25000,I139="Corrientes"),O139*G139*0.06,G139&gt;25000,O139*G139*0.04,TRUE,O139*G139*0.02)</f>
        <v>8880</v>
      </c>
    </row>
    <row r="140" spans="1:21" x14ac:dyDescent="0.25">
      <c r="A140" t="s">
        <v>196</v>
      </c>
      <c r="B140" s="1">
        <v>46025</v>
      </c>
      <c r="C140" t="s">
        <v>38</v>
      </c>
      <c r="D140" t="s">
        <v>20</v>
      </c>
      <c r="E140" t="s">
        <v>72</v>
      </c>
      <c r="F140">
        <v>6</v>
      </c>
      <c r="G140">
        <v>45000</v>
      </c>
      <c r="H140">
        <v>30000</v>
      </c>
      <c r="I140" t="str">
        <f>PROPER(TRIM(ventas_raw_200[[#This Row],[Sucursal]]))</f>
        <v>Posadas</v>
      </c>
      <c r="J140" t="str">
        <f>PROPER(TRIM(ventas_raw_200[[#This Row],[Vendedor]]))</f>
        <v>Ana Martinez</v>
      </c>
      <c r="K140" t="str">
        <f>PROPER(TRIM(ventas_raw_200[[#This Row],[Producto]]))</f>
        <v>Teclado Mecánico Rgb</v>
      </c>
      <c r="L140">
        <f>LEN(ventas_raw_200[[#This Row],[ID_Transaccion]])</f>
        <v>8</v>
      </c>
      <c r="M140" t="str">
        <f>TRIM(ventas_raw_200[[#This Row],[ID_Transaccion]])</f>
        <v>TRX-1139</v>
      </c>
      <c r="N140">
        <f>LEN(ventas_raw_200[[#This Row],[ID_Transaccion_Limpio]])</f>
        <v>8</v>
      </c>
      <c r="O140" s="2">
        <f>IFERROR(IF(ventas_raw_200[[#This Row],[Cantidad]]&lt;0,1,ventas_raw_200[[#This Row],[Cantidad]]),1)</f>
        <v>6</v>
      </c>
      <c r="P140" t="str">
        <f>IFERROR(_xlfn.XLOOKUP(K140,maestro_productos_15!$B$2:$B$16,maestro_productos_15!$C$2:$C$16),"No encontrada")</f>
        <v>Tecnología</v>
      </c>
      <c r="Q140" t="str">
        <f>IFERROR(_xlfn.XLOOKUP(K140,maestro_productos_15!$B$2:$B$16,maestro_productos_15!$D$2:$D$16),"No encontrada")</f>
        <v>TechImport S.R.L.</v>
      </c>
      <c r="R140">
        <f>ventas_raw_200[[#This Row],[Precio_Unitario]]*ventas_raw_200[[#This Row],[Cantidad_Auditada]]</f>
        <v>270000</v>
      </c>
      <c r="S140">
        <f>ventas_raw_200[[#This Row],[Costo_Unitario]]*ventas_raw_200[[#This Row],[Cantidad_Auditada]]</f>
        <v>180000</v>
      </c>
      <c r="T140">
        <f>ventas_raw_200[[#This Row],[Total_Venta]]-ventas_raw_200[[#This Row],[Total_Costo]]</f>
        <v>90000</v>
      </c>
      <c r="U140" s="3" cm="1">
        <f t="array" ref="U140">_xlfn.IFS(AND(G140&gt;25000,I140="Corrientes"),O140*G140*0.06,G140&gt;25000,O140*G140*0.04,TRUE,O140*G140*0.02)</f>
        <v>10800</v>
      </c>
    </row>
    <row r="141" spans="1:21" x14ac:dyDescent="0.25">
      <c r="A141" t="s">
        <v>197</v>
      </c>
      <c r="B141" s="1">
        <v>46023</v>
      </c>
      <c r="C141" t="s">
        <v>9</v>
      </c>
      <c r="D141" t="s">
        <v>30</v>
      </c>
      <c r="E141" t="s">
        <v>11</v>
      </c>
      <c r="F141">
        <v>14</v>
      </c>
      <c r="G141">
        <v>8500</v>
      </c>
      <c r="H141">
        <v>4800</v>
      </c>
      <c r="I141" t="str">
        <f>PROPER(TRIM(ventas_raw_200[[#This Row],[Sucursal]]))</f>
        <v>Corrientes</v>
      </c>
      <c r="J141" t="str">
        <f>PROPER(TRIM(ventas_raw_200[[#This Row],[Vendedor]]))</f>
        <v>Maria Gomez</v>
      </c>
      <c r="K141" t="str">
        <f>PROPER(TRIM(ventas_raw_200[[#This Row],[Producto]]))</f>
        <v>Mates De Madera Calada</v>
      </c>
      <c r="L141">
        <f>LEN(ventas_raw_200[[#This Row],[ID_Transaccion]])</f>
        <v>8</v>
      </c>
      <c r="M141" t="str">
        <f>TRIM(ventas_raw_200[[#This Row],[ID_Transaccion]])</f>
        <v>TRX-1140</v>
      </c>
      <c r="N141">
        <f>LEN(ventas_raw_200[[#This Row],[ID_Transaccion_Limpio]])</f>
        <v>8</v>
      </c>
      <c r="O141" s="2">
        <f>IFERROR(IF(ventas_raw_200[[#This Row],[Cantidad]]&lt;0,1,ventas_raw_200[[#This Row],[Cantidad]]),1)</f>
        <v>14</v>
      </c>
      <c r="P141" t="str">
        <f>IFERROR(_xlfn.XLOOKUP(K141,maestro_productos_15!$B$2:$B$16,maestro_productos_15!$C$2:$C$16),"No encontrada")</f>
        <v>Bazar</v>
      </c>
      <c r="Q141" t="str">
        <f>IFERROR(_xlfn.XLOOKUP(K141,maestro_productos_15!$B$2:$B$16,maestro_productos_15!$D$2:$D$16),"No encontrada")</f>
        <v>Artesanías Guaraníes</v>
      </c>
      <c r="R141">
        <f>ventas_raw_200[[#This Row],[Precio_Unitario]]*ventas_raw_200[[#This Row],[Cantidad_Auditada]]</f>
        <v>119000</v>
      </c>
      <c r="S141">
        <f>ventas_raw_200[[#This Row],[Costo_Unitario]]*ventas_raw_200[[#This Row],[Cantidad_Auditada]]</f>
        <v>67200</v>
      </c>
      <c r="T141">
        <f>ventas_raw_200[[#This Row],[Total_Venta]]-ventas_raw_200[[#This Row],[Total_Costo]]</f>
        <v>51800</v>
      </c>
      <c r="U141" s="3" cm="1">
        <f t="array" ref="U141">_xlfn.IFS(AND(G141&gt;25000,I141="Corrientes"),O141*G141*0.06,G141&gt;25000,O141*G141*0.04,TRUE,O141*G141*0.02)</f>
        <v>2380</v>
      </c>
    </row>
    <row r="142" spans="1:21" x14ac:dyDescent="0.25">
      <c r="A142" t="s">
        <v>198</v>
      </c>
      <c r="B142" s="1">
        <v>46037</v>
      </c>
      <c r="C142" t="s">
        <v>38</v>
      </c>
      <c r="D142" t="s">
        <v>20</v>
      </c>
      <c r="E142" t="s">
        <v>88</v>
      </c>
      <c r="F142">
        <v>6</v>
      </c>
      <c r="G142">
        <v>6200</v>
      </c>
      <c r="H142">
        <v>3800</v>
      </c>
      <c r="I142" t="str">
        <f>PROPER(TRIM(ventas_raw_200[[#This Row],[Sucursal]]))</f>
        <v>Posadas</v>
      </c>
      <c r="J142" t="str">
        <f>PROPER(TRIM(ventas_raw_200[[#This Row],[Vendedor]]))</f>
        <v>Ana Martinez</v>
      </c>
      <c r="K142" t="str">
        <f>PROPER(TRIM(ventas_raw_200[[#This Row],[Producto]]))</f>
        <v>Shampoo Canino Neutro 500Ml</v>
      </c>
      <c r="L142">
        <f>LEN(ventas_raw_200[[#This Row],[ID_Transaccion]])</f>
        <v>8</v>
      </c>
      <c r="M142" t="str">
        <f>TRIM(ventas_raw_200[[#This Row],[ID_Transaccion]])</f>
        <v>TRX-1141</v>
      </c>
      <c r="N142">
        <f>LEN(ventas_raw_200[[#This Row],[ID_Transaccion_Limpio]])</f>
        <v>8</v>
      </c>
      <c r="O142" s="2">
        <f>IFERROR(IF(ventas_raw_200[[#This Row],[Cantidad]]&lt;0,1,ventas_raw_200[[#This Row],[Cantidad]]),1)</f>
        <v>6</v>
      </c>
      <c r="P142" t="str">
        <f>IFERROR(_xlfn.XLOOKUP(K142,maestro_productos_15!$B$2:$B$16,maestro_productos_15!$C$2:$C$16),"No encontrada")</f>
        <v>Mascotas</v>
      </c>
      <c r="Q142" t="str">
        <f>IFERROR(_xlfn.XLOOKUP(K142,maestro_productos_15!$B$2:$B$16,maestro_productos_15!$D$2:$D$16),"No encontrada")</f>
        <v>PetStyle Litoral</v>
      </c>
      <c r="R142">
        <f>ventas_raw_200[[#This Row],[Precio_Unitario]]*ventas_raw_200[[#This Row],[Cantidad_Auditada]]</f>
        <v>37200</v>
      </c>
      <c r="S142">
        <f>ventas_raw_200[[#This Row],[Costo_Unitario]]*ventas_raw_200[[#This Row],[Cantidad_Auditada]]</f>
        <v>22800</v>
      </c>
      <c r="T142">
        <f>ventas_raw_200[[#This Row],[Total_Venta]]-ventas_raw_200[[#This Row],[Total_Costo]]</f>
        <v>14400</v>
      </c>
      <c r="U142" s="3" cm="1">
        <f t="array" ref="U142">_xlfn.IFS(AND(G142&gt;25000,I142="Corrientes"),O142*G142*0.06,G142&gt;25000,O142*G142*0.04,TRUE,O142*G142*0.02)</f>
        <v>744</v>
      </c>
    </row>
    <row r="143" spans="1:21" x14ac:dyDescent="0.25">
      <c r="A143" t="s">
        <v>199</v>
      </c>
      <c r="B143" s="1">
        <v>46029</v>
      </c>
      <c r="C143" t="s">
        <v>23</v>
      </c>
      <c r="D143" t="s">
        <v>69</v>
      </c>
      <c r="E143" t="s">
        <v>41</v>
      </c>
      <c r="F143">
        <v>5</v>
      </c>
      <c r="G143">
        <v>4800</v>
      </c>
      <c r="H143">
        <v>2700</v>
      </c>
      <c r="I143" t="str">
        <f>PROPER(TRIM(ventas_raw_200[[#This Row],[Sucursal]]))</f>
        <v>Corrientes</v>
      </c>
      <c r="J143" t="str">
        <f>PROPER(TRIM(ventas_raw_200[[#This Row],[Vendedor]]))</f>
        <v>Carlos Ruiz</v>
      </c>
      <c r="K143" t="str">
        <f>PROPER(TRIM(ventas_raw_200[[#This Row],[Producto]]))</f>
        <v>Juguete Mordillo Goma</v>
      </c>
      <c r="L143">
        <f>LEN(ventas_raw_200[[#This Row],[ID_Transaccion]])</f>
        <v>8</v>
      </c>
      <c r="M143" t="str">
        <f>TRIM(ventas_raw_200[[#This Row],[ID_Transaccion]])</f>
        <v>TRX-1142</v>
      </c>
      <c r="N143">
        <f>LEN(ventas_raw_200[[#This Row],[ID_Transaccion_Limpio]])</f>
        <v>8</v>
      </c>
      <c r="O143" s="2">
        <f>IFERROR(IF(ventas_raw_200[[#This Row],[Cantidad]]&lt;0,1,ventas_raw_200[[#This Row],[Cantidad]]),1)</f>
        <v>5</v>
      </c>
      <c r="P143" t="str">
        <f>IFERROR(_xlfn.XLOOKUP(K143,maestro_productos_15!$B$2:$B$16,maestro_productos_15!$C$2:$C$16),"No encontrada")</f>
        <v>Mascotas</v>
      </c>
      <c r="Q143" t="str">
        <f>IFERROR(_xlfn.XLOOKUP(K143,maestro_productos_15!$B$2:$B$16,maestro_productos_15!$D$2:$D$16),"No encontrada")</f>
        <v>PetStyle Litoral</v>
      </c>
      <c r="R143">
        <f>ventas_raw_200[[#This Row],[Precio_Unitario]]*ventas_raw_200[[#This Row],[Cantidad_Auditada]]</f>
        <v>24000</v>
      </c>
      <c r="S143">
        <f>ventas_raw_200[[#This Row],[Costo_Unitario]]*ventas_raw_200[[#This Row],[Cantidad_Auditada]]</f>
        <v>13500</v>
      </c>
      <c r="T143">
        <f>ventas_raw_200[[#This Row],[Total_Venta]]-ventas_raw_200[[#This Row],[Total_Costo]]</f>
        <v>10500</v>
      </c>
      <c r="U143" s="3" cm="1">
        <f t="array" ref="U143">_xlfn.IFS(AND(G143&gt;25000,I143="Corrientes"),O143*G143*0.06,G143&gt;25000,O143*G143*0.04,TRUE,O143*G143*0.02)</f>
        <v>480</v>
      </c>
    </row>
    <row r="144" spans="1:21" x14ac:dyDescent="0.25">
      <c r="A144" t="s">
        <v>200</v>
      </c>
      <c r="B144" s="1">
        <v>46055</v>
      </c>
      <c r="C144" t="s">
        <v>9</v>
      </c>
      <c r="D144" t="s">
        <v>20</v>
      </c>
      <c r="E144" t="s">
        <v>60</v>
      </c>
      <c r="F144">
        <v>10</v>
      </c>
      <c r="G144">
        <v>8500</v>
      </c>
      <c r="H144">
        <v>4800</v>
      </c>
      <c r="I144" t="str">
        <f>PROPER(TRIM(ventas_raw_200[[#This Row],[Sucursal]]))</f>
        <v>Corrientes</v>
      </c>
      <c r="J144" t="str">
        <f>PROPER(TRIM(ventas_raw_200[[#This Row],[Vendedor]]))</f>
        <v>Ana Martinez</v>
      </c>
      <c r="K144" t="str">
        <f>PROPER(TRIM(ventas_raw_200[[#This Row],[Producto]]))</f>
        <v>Mates De Madera Calada</v>
      </c>
      <c r="L144">
        <f>LEN(ventas_raw_200[[#This Row],[ID_Transaccion]])</f>
        <v>8</v>
      </c>
      <c r="M144" t="str">
        <f>TRIM(ventas_raw_200[[#This Row],[ID_Transaccion]])</f>
        <v>TRX-1143</v>
      </c>
      <c r="N144">
        <f>LEN(ventas_raw_200[[#This Row],[ID_Transaccion_Limpio]])</f>
        <v>8</v>
      </c>
      <c r="O144" s="2">
        <f>IFERROR(IF(ventas_raw_200[[#This Row],[Cantidad]]&lt;0,1,ventas_raw_200[[#This Row],[Cantidad]]),1)</f>
        <v>10</v>
      </c>
      <c r="P144" t="str">
        <f>IFERROR(_xlfn.XLOOKUP(K144,maestro_productos_15!$B$2:$B$16,maestro_productos_15!$C$2:$C$16),"No encontrada")</f>
        <v>Bazar</v>
      </c>
      <c r="Q144" t="str">
        <f>IFERROR(_xlfn.XLOOKUP(K144,maestro_productos_15!$B$2:$B$16,maestro_productos_15!$D$2:$D$16),"No encontrada")</f>
        <v>Artesanías Guaraníes</v>
      </c>
      <c r="R144">
        <f>ventas_raw_200[[#This Row],[Precio_Unitario]]*ventas_raw_200[[#This Row],[Cantidad_Auditada]]</f>
        <v>85000</v>
      </c>
      <c r="S144">
        <f>ventas_raw_200[[#This Row],[Costo_Unitario]]*ventas_raw_200[[#This Row],[Cantidad_Auditada]]</f>
        <v>48000</v>
      </c>
      <c r="T144">
        <f>ventas_raw_200[[#This Row],[Total_Venta]]-ventas_raw_200[[#This Row],[Total_Costo]]</f>
        <v>37000</v>
      </c>
      <c r="U144" s="3" cm="1">
        <f t="array" ref="U144">_xlfn.IFS(AND(G144&gt;25000,I144="Corrientes"),O144*G144*0.06,G144&gt;25000,O144*G144*0.04,TRUE,O144*G144*0.02)</f>
        <v>1700</v>
      </c>
    </row>
    <row r="145" spans="1:21" x14ac:dyDescent="0.25">
      <c r="A145" t="s">
        <v>201</v>
      </c>
      <c r="B145" s="1">
        <v>46096</v>
      </c>
      <c r="C145" t="s">
        <v>13</v>
      </c>
      <c r="D145" t="s">
        <v>30</v>
      </c>
      <c r="E145" t="s">
        <v>43</v>
      </c>
      <c r="F145">
        <v>14</v>
      </c>
      <c r="G145">
        <v>6200</v>
      </c>
      <c r="H145">
        <v>3800</v>
      </c>
      <c r="I145" t="str">
        <f>PROPER(TRIM(ventas_raw_200[[#This Row],[Sucursal]]))</f>
        <v>Posadas</v>
      </c>
      <c r="J145" t="str">
        <f>PROPER(TRIM(ventas_raw_200[[#This Row],[Vendedor]]))</f>
        <v>Maria Gomez</v>
      </c>
      <c r="K145" t="str">
        <f>PROPER(TRIM(ventas_raw_200[[#This Row],[Producto]]))</f>
        <v>Shampoo Canino Neutro 500Ml</v>
      </c>
      <c r="L145">
        <f>LEN(ventas_raw_200[[#This Row],[ID_Transaccion]])</f>
        <v>8</v>
      </c>
      <c r="M145" t="str">
        <f>TRIM(ventas_raw_200[[#This Row],[ID_Transaccion]])</f>
        <v>TRX-1144</v>
      </c>
      <c r="N145">
        <f>LEN(ventas_raw_200[[#This Row],[ID_Transaccion_Limpio]])</f>
        <v>8</v>
      </c>
      <c r="O145" s="2">
        <f>IFERROR(IF(ventas_raw_200[[#This Row],[Cantidad]]&lt;0,1,ventas_raw_200[[#This Row],[Cantidad]]),1)</f>
        <v>14</v>
      </c>
      <c r="P145" t="str">
        <f>IFERROR(_xlfn.XLOOKUP(K145,maestro_productos_15!$B$2:$B$16,maestro_productos_15!$C$2:$C$16),"No encontrada")</f>
        <v>Mascotas</v>
      </c>
      <c r="Q145" t="str">
        <f>IFERROR(_xlfn.XLOOKUP(K145,maestro_productos_15!$B$2:$B$16,maestro_productos_15!$D$2:$D$16),"No encontrada")</f>
        <v>PetStyle Litoral</v>
      </c>
      <c r="R145">
        <f>ventas_raw_200[[#This Row],[Precio_Unitario]]*ventas_raw_200[[#This Row],[Cantidad_Auditada]]</f>
        <v>86800</v>
      </c>
      <c r="S145">
        <f>ventas_raw_200[[#This Row],[Costo_Unitario]]*ventas_raw_200[[#This Row],[Cantidad_Auditada]]</f>
        <v>53200</v>
      </c>
      <c r="T145">
        <f>ventas_raw_200[[#This Row],[Total_Venta]]-ventas_raw_200[[#This Row],[Total_Costo]]</f>
        <v>33600</v>
      </c>
      <c r="U145" s="3" cm="1">
        <f t="array" ref="U145">_xlfn.IFS(AND(G145&gt;25000,I145="Corrientes"),O145*G145*0.06,G145&gt;25000,O145*G145*0.04,TRUE,O145*G145*0.02)</f>
        <v>1736</v>
      </c>
    </row>
    <row r="146" spans="1:21" x14ac:dyDescent="0.25">
      <c r="A146" t="s">
        <v>202</v>
      </c>
      <c r="B146" s="1">
        <v>46066</v>
      </c>
      <c r="C146" t="s">
        <v>56</v>
      </c>
      <c r="D146" t="s">
        <v>20</v>
      </c>
      <c r="E146" t="s">
        <v>41</v>
      </c>
      <c r="F146">
        <v>8</v>
      </c>
      <c r="G146">
        <v>4800</v>
      </c>
      <c r="H146">
        <v>2700</v>
      </c>
      <c r="I146" t="str">
        <f>PROPER(TRIM(ventas_raw_200[[#This Row],[Sucursal]]))</f>
        <v>Resistencia</v>
      </c>
      <c r="J146" t="str">
        <f>PROPER(TRIM(ventas_raw_200[[#This Row],[Vendedor]]))</f>
        <v>Ana Martinez</v>
      </c>
      <c r="K146" t="str">
        <f>PROPER(TRIM(ventas_raw_200[[#This Row],[Producto]]))</f>
        <v>Juguete Mordillo Goma</v>
      </c>
      <c r="L146">
        <f>LEN(ventas_raw_200[[#This Row],[ID_Transaccion]])</f>
        <v>8</v>
      </c>
      <c r="M146" t="str">
        <f>TRIM(ventas_raw_200[[#This Row],[ID_Transaccion]])</f>
        <v>TRX-1145</v>
      </c>
      <c r="N146">
        <f>LEN(ventas_raw_200[[#This Row],[ID_Transaccion_Limpio]])</f>
        <v>8</v>
      </c>
      <c r="O146" s="2">
        <f>IFERROR(IF(ventas_raw_200[[#This Row],[Cantidad]]&lt;0,1,ventas_raw_200[[#This Row],[Cantidad]]),1)</f>
        <v>8</v>
      </c>
      <c r="P146" t="str">
        <f>IFERROR(_xlfn.XLOOKUP(K146,maestro_productos_15!$B$2:$B$16,maestro_productos_15!$C$2:$C$16),"No encontrada")</f>
        <v>Mascotas</v>
      </c>
      <c r="Q146" t="str">
        <f>IFERROR(_xlfn.XLOOKUP(K146,maestro_productos_15!$B$2:$B$16,maestro_productos_15!$D$2:$D$16),"No encontrada")</f>
        <v>PetStyle Litoral</v>
      </c>
      <c r="R146">
        <f>ventas_raw_200[[#This Row],[Precio_Unitario]]*ventas_raw_200[[#This Row],[Cantidad_Auditada]]</f>
        <v>38400</v>
      </c>
      <c r="S146">
        <f>ventas_raw_200[[#This Row],[Costo_Unitario]]*ventas_raw_200[[#This Row],[Cantidad_Auditada]]</f>
        <v>21600</v>
      </c>
      <c r="T146">
        <f>ventas_raw_200[[#This Row],[Total_Venta]]-ventas_raw_200[[#This Row],[Total_Costo]]</f>
        <v>16800</v>
      </c>
      <c r="U146" s="3" cm="1">
        <f t="array" ref="U146">_xlfn.IFS(AND(G146&gt;25000,I146="Corrientes"),O146*G146*0.06,G146&gt;25000,O146*G146*0.04,TRUE,O146*G146*0.02)</f>
        <v>768</v>
      </c>
    </row>
    <row r="147" spans="1:21" x14ac:dyDescent="0.25">
      <c r="A147" t="s">
        <v>203</v>
      </c>
      <c r="B147" s="1">
        <v>46084</v>
      </c>
      <c r="C147" t="s">
        <v>19</v>
      </c>
      <c r="D147" t="s">
        <v>14</v>
      </c>
      <c r="E147" t="s">
        <v>194</v>
      </c>
      <c r="F147">
        <v>22</v>
      </c>
      <c r="G147">
        <v>3800</v>
      </c>
      <c r="H147">
        <v>2500</v>
      </c>
      <c r="I147" t="str">
        <f>PROPER(TRIM(ventas_raw_200[[#This Row],[Sucursal]]))</f>
        <v>Resistencia</v>
      </c>
      <c r="J147" t="str">
        <f>PROPER(TRIM(ventas_raw_200[[#This Row],[Vendedor]]))</f>
        <v>Juan Perez</v>
      </c>
      <c r="K147" t="str">
        <f>PROPER(TRIM(ventas_raw_200[[#This Row],[Producto]]))</f>
        <v>Yerba Mate Premium 1Kg</v>
      </c>
      <c r="L147">
        <f>LEN(ventas_raw_200[[#This Row],[ID_Transaccion]])</f>
        <v>8</v>
      </c>
      <c r="M147" t="str">
        <f>TRIM(ventas_raw_200[[#This Row],[ID_Transaccion]])</f>
        <v>TRX-1146</v>
      </c>
      <c r="N147">
        <f>LEN(ventas_raw_200[[#This Row],[ID_Transaccion_Limpio]])</f>
        <v>8</v>
      </c>
      <c r="O147" s="2">
        <f>IFERROR(IF(ventas_raw_200[[#This Row],[Cantidad]]&lt;0,1,ventas_raw_200[[#This Row],[Cantidad]]),1)</f>
        <v>22</v>
      </c>
      <c r="P147" t="str">
        <f>IFERROR(_xlfn.XLOOKUP(K147,maestro_productos_15!$B$2:$B$16,maestro_productos_15!$C$2:$C$16),"No encontrada")</f>
        <v>Alimentos</v>
      </c>
      <c r="Q147" t="str">
        <f>IFERROR(_xlfn.XLOOKUP(K147,maestro_productos_15!$B$2:$B$16,maestro_productos_15!$D$2:$D$16),"No encontrada")</f>
        <v>Cooperativa Neike</v>
      </c>
      <c r="R147">
        <f>ventas_raw_200[[#This Row],[Precio_Unitario]]*ventas_raw_200[[#This Row],[Cantidad_Auditada]]</f>
        <v>83600</v>
      </c>
      <c r="S147">
        <f>ventas_raw_200[[#This Row],[Costo_Unitario]]*ventas_raw_200[[#This Row],[Cantidad_Auditada]]</f>
        <v>55000</v>
      </c>
      <c r="T147">
        <f>ventas_raw_200[[#This Row],[Total_Venta]]-ventas_raw_200[[#This Row],[Total_Costo]]</f>
        <v>28600</v>
      </c>
      <c r="U147" s="3" cm="1">
        <f t="array" ref="U147">_xlfn.IFS(AND(G147&gt;25000,I147="Corrientes"),O147*G147*0.06,G147&gt;25000,O147*G147*0.04,TRUE,O147*G147*0.02)</f>
        <v>1672</v>
      </c>
    </row>
    <row r="148" spans="1:21" x14ac:dyDescent="0.25">
      <c r="A148" t="s">
        <v>204</v>
      </c>
      <c r="B148" s="1">
        <v>46075</v>
      </c>
      <c r="C148" t="s">
        <v>9</v>
      </c>
      <c r="D148" t="s">
        <v>49</v>
      </c>
      <c r="E148" t="s">
        <v>62</v>
      </c>
      <c r="F148">
        <v>10</v>
      </c>
      <c r="G148">
        <v>19500</v>
      </c>
      <c r="H148">
        <v>12000</v>
      </c>
      <c r="I148" t="str">
        <f>PROPER(TRIM(ventas_raw_200[[#This Row],[Sucursal]]))</f>
        <v>Corrientes</v>
      </c>
      <c r="J148" t="str">
        <f>PROPER(TRIM(ventas_raw_200[[#This Row],[Vendedor]]))</f>
        <v>Carlos Ruiz</v>
      </c>
      <c r="K148" t="str">
        <f>PROPER(TRIM(ventas_raw_200[[#This Row],[Producto]]))</f>
        <v>Soporte Regulable Notebook</v>
      </c>
      <c r="L148">
        <f>LEN(ventas_raw_200[[#This Row],[ID_Transaccion]])</f>
        <v>8</v>
      </c>
      <c r="M148" t="str">
        <f>TRIM(ventas_raw_200[[#This Row],[ID_Transaccion]])</f>
        <v>TRX-1147</v>
      </c>
      <c r="N148">
        <f>LEN(ventas_raw_200[[#This Row],[ID_Transaccion_Limpio]])</f>
        <v>8</v>
      </c>
      <c r="O148" s="2">
        <f>IFERROR(IF(ventas_raw_200[[#This Row],[Cantidad]]&lt;0,1,ventas_raw_200[[#This Row],[Cantidad]]),1)</f>
        <v>10</v>
      </c>
      <c r="P148" t="str">
        <f>IFERROR(_xlfn.XLOOKUP(K148,maestro_productos_15!$B$2:$B$16,maestro_productos_15!$C$2:$C$16),"No encontrada")</f>
        <v>Tecnología</v>
      </c>
      <c r="Q148" t="str">
        <f>IFERROR(_xlfn.XLOOKUP(K148,maestro_productos_15!$B$2:$B$16,maestro_productos_15!$D$2:$D$16),"No encontrada")</f>
        <v>TechImport S.R.L.</v>
      </c>
      <c r="R148">
        <f>ventas_raw_200[[#This Row],[Precio_Unitario]]*ventas_raw_200[[#This Row],[Cantidad_Auditada]]</f>
        <v>195000</v>
      </c>
      <c r="S148">
        <f>ventas_raw_200[[#This Row],[Costo_Unitario]]*ventas_raw_200[[#This Row],[Cantidad_Auditada]]</f>
        <v>120000</v>
      </c>
      <c r="T148">
        <f>ventas_raw_200[[#This Row],[Total_Venta]]-ventas_raw_200[[#This Row],[Total_Costo]]</f>
        <v>75000</v>
      </c>
      <c r="U148" s="3" cm="1">
        <f t="array" ref="U148">_xlfn.IFS(AND(G148&gt;25000,I148="Corrientes"),O148*G148*0.06,G148&gt;25000,O148*G148*0.04,TRUE,O148*G148*0.02)</f>
        <v>3900</v>
      </c>
    </row>
    <row r="149" spans="1:21" x14ac:dyDescent="0.25">
      <c r="A149" t="s">
        <v>205</v>
      </c>
      <c r="B149" s="1">
        <v>46069</v>
      </c>
      <c r="C149" t="s">
        <v>23</v>
      </c>
      <c r="D149" t="s">
        <v>49</v>
      </c>
      <c r="E149" t="s">
        <v>109</v>
      </c>
      <c r="F149">
        <v>25</v>
      </c>
      <c r="G149">
        <v>9200</v>
      </c>
      <c r="H149">
        <v>5500</v>
      </c>
      <c r="I149" t="str">
        <f>PROPER(TRIM(ventas_raw_200[[#This Row],[Sucursal]]))</f>
        <v>Corrientes</v>
      </c>
      <c r="J149" t="str">
        <f>PROPER(TRIM(ventas_raw_200[[#This Row],[Vendedor]]))</f>
        <v>Carlos Ruiz</v>
      </c>
      <c r="K149" t="str">
        <f>PROPER(TRIM(ventas_raw_200[[#This Row],[Producto]]))</f>
        <v>Correa Reforzada Canina 3M</v>
      </c>
      <c r="L149">
        <f>LEN(ventas_raw_200[[#This Row],[ID_Transaccion]])</f>
        <v>8</v>
      </c>
      <c r="M149" t="str">
        <f>TRIM(ventas_raw_200[[#This Row],[ID_Transaccion]])</f>
        <v>TRX-1148</v>
      </c>
      <c r="N149">
        <f>LEN(ventas_raw_200[[#This Row],[ID_Transaccion_Limpio]])</f>
        <v>8</v>
      </c>
      <c r="O149" s="2">
        <f>IFERROR(IF(ventas_raw_200[[#This Row],[Cantidad]]&lt;0,1,ventas_raw_200[[#This Row],[Cantidad]]),1)</f>
        <v>25</v>
      </c>
      <c r="P149" t="str">
        <f>IFERROR(_xlfn.XLOOKUP(K149,maestro_productos_15!$B$2:$B$16,maestro_productos_15!$C$2:$C$16),"No encontrada")</f>
        <v>Mascotas</v>
      </c>
      <c r="Q149" t="str">
        <f>IFERROR(_xlfn.XLOOKUP(K149,maestro_productos_15!$B$2:$B$16,maestro_productos_15!$D$2:$D$16),"No encontrada")</f>
        <v>PetStyle Litoral</v>
      </c>
      <c r="R149">
        <f>ventas_raw_200[[#This Row],[Precio_Unitario]]*ventas_raw_200[[#This Row],[Cantidad_Auditada]]</f>
        <v>230000</v>
      </c>
      <c r="S149">
        <f>ventas_raw_200[[#This Row],[Costo_Unitario]]*ventas_raw_200[[#This Row],[Cantidad_Auditada]]</f>
        <v>137500</v>
      </c>
      <c r="T149">
        <f>ventas_raw_200[[#This Row],[Total_Venta]]-ventas_raw_200[[#This Row],[Total_Costo]]</f>
        <v>92500</v>
      </c>
      <c r="U149" s="3" cm="1">
        <f t="array" ref="U149">_xlfn.IFS(AND(G149&gt;25000,I149="Corrientes"),O149*G149*0.06,G149&gt;25000,O149*G149*0.04,TRUE,O149*G149*0.02)</f>
        <v>4600</v>
      </c>
    </row>
    <row r="150" spans="1:21" x14ac:dyDescent="0.25">
      <c r="A150" t="s">
        <v>206</v>
      </c>
      <c r="B150" s="1">
        <v>46111</v>
      </c>
      <c r="C150" t="s">
        <v>38</v>
      </c>
      <c r="D150" t="s">
        <v>10</v>
      </c>
      <c r="E150" t="s">
        <v>164</v>
      </c>
      <c r="F150">
        <v>15</v>
      </c>
      <c r="G150">
        <v>4800</v>
      </c>
      <c r="H150">
        <v>2700</v>
      </c>
      <c r="I150" t="str">
        <f>PROPER(TRIM(ventas_raw_200[[#This Row],[Sucursal]]))</f>
        <v>Posadas</v>
      </c>
      <c r="J150" t="str">
        <f>PROPER(TRIM(ventas_raw_200[[#This Row],[Vendedor]]))</f>
        <v>Ana Martinez</v>
      </c>
      <c r="K150" t="str">
        <f>PROPER(TRIM(ventas_raw_200[[#This Row],[Producto]]))</f>
        <v>Juguete Mordillo Goma</v>
      </c>
      <c r="L150">
        <f>LEN(ventas_raw_200[[#This Row],[ID_Transaccion]])</f>
        <v>8</v>
      </c>
      <c r="M150" t="str">
        <f>TRIM(ventas_raw_200[[#This Row],[ID_Transaccion]])</f>
        <v>TRX-1149</v>
      </c>
      <c r="N150">
        <f>LEN(ventas_raw_200[[#This Row],[ID_Transaccion_Limpio]])</f>
        <v>8</v>
      </c>
      <c r="O150" s="2">
        <f>IFERROR(IF(ventas_raw_200[[#This Row],[Cantidad]]&lt;0,1,ventas_raw_200[[#This Row],[Cantidad]]),1)</f>
        <v>15</v>
      </c>
      <c r="P150" t="str">
        <f>IFERROR(_xlfn.XLOOKUP(K150,maestro_productos_15!$B$2:$B$16,maestro_productos_15!$C$2:$C$16),"No encontrada")</f>
        <v>Mascotas</v>
      </c>
      <c r="Q150" t="str">
        <f>IFERROR(_xlfn.XLOOKUP(K150,maestro_productos_15!$B$2:$B$16,maestro_productos_15!$D$2:$D$16),"No encontrada")</f>
        <v>PetStyle Litoral</v>
      </c>
      <c r="R150">
        <f>ventas_raw_200[[#This Row],[Precio_Unitario]]*ventas_raw_200[[#This Row],[Cantidad_Auditada]]</f>
        <v>72000</v>
      </c>
      <c r="S150">
        <f>ventas_raw_200[[#This Row],[Costo_Unitario]]*ventas_raw_200[[#This Row],[Cantidad_Auditada]]</f>
        <v>40500</v>
      </c>
      <c r="T150">
        <f>ventas_raw_200[[#This Row],[Total_Venta]]-ventas_raw_200[[#This Row],[Total_Costo]]</f>
        <v>31500</v>
      </c>
      <c r="U150" s="3" cm="1">
        <f t="array" ref="U150">_xlfn.IFS(AND(G150&gt;25000,I150="Corrientes"),O150*G150*0.06,G150&gt;25000,O150*G150*0.04,TRUE,O150*G150*0.02)</f>
        <v>1440</v>
      </c>
    </row>
    <row r="151" spans="1:21" x14ac:dyDescent="0.25">
      <c r="A151" t="s">
        <v>207</v>
      </c>
      <c r="B151" s="1">
        <v>46036</v>
      </c>
      <c r="C151" t="s">
        <v>9</v>
      </c>
      <c r="D151" t="s">
        <v>30</v>
      </c>
      <c r="E151" t="s">
        <v>188</v>
      </c>
      <c r="F151">
        <v>14</v>
      </c>
      <c r="G151">
        <v>45000</v>
      </c>
      <c r="H151">
        <v>30000</v>
      </c>
      <c r="I151" t="str">
        <f>PROPER(TRIM(ventas_raw_200[[#This Row],[Sucursal]]))</f>
        <v>Corrientes</v>
      </c>
      <c r="J151" t="str">
        <f>PROPER(TRIM(ventas_raw_200[[#This Row],[Vendedor]]))</f>
        <v>Maria Gomez</v>
      </c>
      <c r="K151" t="str">
        <f>PROPER(TRIM(ventas_raw_200[[#This Row],[Producto]]))</f>
        <v>Teclado Mecánico Rgb</v>
      </c>
      <c r="L151">
        <f>LEN(ventas_raw_200[[#This Row],[ID_Transaccion]])</f>
        <v>8</v>
      </c>
      <c r="M151" t="str">
        <f>TRIM(ventas_raw_200[[#This Row],[ID_Transaccion]])</f>
        <v>TRX-1150</v>
      </c>
      <c r="N151">
        <f>LEN(ventas_raw_200[[#This Row],[ID_Transaccion_Limpio]])</f>
        <v>8</v>
      </c>
      <c r="O151" s="2">
        <f>IFERROR(IF(ventas_raw_200[[#This Row],[Cantidad]]&lt;0,1,ventas_raw_200[[#This Row],[Cantidad]]),1)</f>
        <v>14</v>
      </c>
      <c r="P151" t="str">
        <f>IFERROR(_xlfn.XLOOKUP(K151,maestro_productos_15!$B$2:$B$16,maestro_productos_15!$C$2:$C$16),"No encontrada")</f>
        <v>Tecnología</v>
      </c>
      <c r="Q151" t="str">
        <f>IFERROR(_xlfn.XLOOKUP(K151,maestro_productos_15!$B$2:$B$16,maestro_productos_15!$D$2:$D$16),"No encontrada")</f>
        <v>TechImport S.R.L.</v>
      </c>
      <c r="R151">
        <f>ventas_raw_200[[#This Row],[Precio_Unitario]]*ventas_raw_200[[#This Row],[Cantidad_Auditada]]</f>
        <v>630000</v>
      </c>
      <c r="S151">
        <f>ventas_raw_200[[#This Row],[Costo_Unitario]]*ventas_raw_200[[#This Row],[Cantidad_Auditada]]</f>
        <v>420000</v>
      </c>
      <c r="T151">
        <f>ventas_raw_200[[#This Row],[Total_Venta]]-ventas_raw_200[[#This Row],[Total_Costo]]</f>
        <v>210000</v>
      </c>
      <c r="U151" s="3" cm="1">
        <f t="array" ref="U151">_xlfn.IFS(AND(G151&gt;25000,I151="Corrientes"),O151*G151*0.06,G151&gt;25000,O151*G151*0.04,TRUE,O151*G151*0.02)</f>
        <v>37800</v>
      </c>
    </row>
    <row r="152" spans="1:21" x14ac:dyDescent="0.25">
      <c r="A152" t="s">
        <v>208</v>
      </c>
      <c r="B152" s="1">
        <v>46070</v>
      </c>
      <c r="C152" t="s">
        <v>19</v>
      </c>
      <c r="D152" t="s">
        <v>49</v>
      </c>
      <c r="E152" t="s">
        <v>72</v>
      </c>
      <c r="F152">
        <v>9</v>
      </c>
      <c r="G152">
        <v>45000</v>
      </c>
      <c r="H152">
        <v>30000</v>
      </c>
      <c r="I152" t="str">
        <f>PROPER(TRIM(ventas_raw_200[[#This Row],[Sucursal]]))</f>
        <v>Resistencia</v>
      </c>
      <c r="J152" t="str">
        <f>PROPER(TRIM(ventas_raw_200[[#This Row],[Vendedor]]))</f>
        <v>Carlos Ruiz</v>
      </c>
      <c r="K152" t="str">
        <f>PROPER(TRIM(ventas_raw_200[[#This Row],[Producto]]))</f>
        <v>Teclado Mecánico Rgb</v>
      </c>
      <c r="L152">
        <f>LEN(ventas_raw_200[[#This Row],[ID_Transaccion]])</f>
        <v>8</v>
      </c>
      <c r="M152" t="str">
        <f>TRIM(ventas_raw_200[[#This Row],[ID_Transaccion]])</f>
        <v>TRX-1151</v>
      </c>
      <c r="N152">
        <f>LEN(ventas_raw_200[[#This Row],[ID_Transaccion_Limpio]])</f>
        <v>8</v>
      </c>
      <c r="O152" s="2">
        <f>IFERROR(IF(ventas_raw_200[[#This Row],[Cantidad]]&lt;0,1,ventas_raw_200[[#This Row],[Cantidad]]),1)</f>
        <v>9</v>
      </c>
      <c r="P152" t="str">
        <f>IFERROR(_xlfn.XLOOKUP(K152,maestro_productos_15!$B$2:$B$16,maestro_productos_15!$C$2:$C$16),"No encontrada")</f>
        <v>Tecnología</v>
      </c>
      <c r="Q152" t="str">
        <f>IFERROR(_xlfn.XLOOKUP(K152,maestro_productos_15!$B$2:$B$16,maestro_productos_15!$D$2:$D$16),"No encontrada")</f>
        <v>TechImport S.R.L.</v>
      </c>
      <c r="R152">
        <f>ventas_raw_200[[#This Row],[Precio_Unitario]]*ventas_raw_200[[#This Row],[Cantidad_Auditada]]</f>
        <v>405000</v>
      </c>
      <c r="S152">
        <f>ventas_raw_200[[#This Row],[Costo_Unitario]]*ventas_raw_200[[#This Row],[Cantidad_Auditada]]</f>
        <v>270000</v>
      </c>
      <c r="T152">
        <f>ventas_raw_200[[#This Row],[Total_Venta]]-ventas_raw_200[[#This Row],[Total_Costo]]</f>
        <v>135000</v>
      </c>
      <c r="U152" s="3" cm="1">
        <f t="array" ref="U152">_xlfn.IFS(AND(G152&gt;25000,I152="Corrientes"),O152*G152*0.06,G152&gt;25000,O152*G152*0.04,TRUE,O152*G152*0.02)</f>
        <v>16200</v>
      </c>
    </row>
    <row r="153" spans="1:21" x14ac:dyDescent="0.25">
      <c r="A153" t="s">
        <v>209</v>
      </c>
      <c r="B153" s="1">
        <v>46110</v>
      </c>
      <c r="C153" t="s">
        <v>19</v>
      </c>
      <c r="D153" t="s">
        <v>10</v>
      </c>
      <c r="E153" t="s">
        <v>76</v>
      </c>
      <c r="F153">
        <v>4</v>
      </c>
      <c r="G153">
        <v>15000</v>
      </c>
      <c r="H153">
        <v>9500</v>
      </c>
      <c r="I153" t="str">
        <f>PROPER(TRIM(ventas_raw_200[[#This Row],[Sucursal]]))</f>
        <v>Resistencia</v>
      </c>
      <c r="J153" t="str">
        <f>PROPER(TRIM(ventas_raw_200[[#This Row],[Vendedor]]))</f>
        <v>Ana Martinez</v>
      </c>
      <c r="K153" t="str">
        <f>PROPER(TRIM(ventas_raw_200[[#This Row],[Producto]]))</f>
        <v>Mouse Inalámbrico Ergonómico</v>
      </c>
      <c r="L153">
        <f>LEN(ventas_raw_200[[#This Row],[ID_Transaccion]])</f>
        <v>8</v>
      </c>
      <c r="M153" t="str">
        <f>TRIM(ventas_raw_200[[#This Row],[ID_Transaccion]])</f>
        <v>TRX-1152</v>
      </c>
      <c r="N153">
        <f>LEN(ventas_raw_200[[#This Row],[ID_Transaccion_Limpio]])</f>
        <v>8</v>
      </c>
      <c r="O153" s="2">
        <f>IFERROR(IF(ventas_raw_200[[#This Row],[Cantidad]]&lt;0,1,ventas_raw_200[[#This Row],[Cantidad]]),1)</f>
        <v>4</v>
      </c>
      <c r="P153" t="str">
        <f>IFERROR(_xlfn.XLOOKUP(K153,maestro_productos_15!$B$2:$B$16,maestro_productos_15!$C$2:$C$16),"No encontrada")</f>
        <v>Tecnología</v>
      </c>
      <c r="Q153" t="str">
        <f>IFERROR(_xlfn.XLOOKUP(K153,maestro_productos_15!$B$2:$B$16,maestro_productos_15!$D$2:$D$16),"No encontrada")</f>
        <v>TechImport S.R.L.</v>
      </c>
      <c r="R153">
        <f>ventas_raw_200[[#This Row],[Precio_Unitario]]*ventas_raw_200[[#This Row],[Cantidad_Auditada]]</f>
        <v>60000</v>
      </c>
      <c r="S153">
        <f>ventas_raw_200[[#This Row],[Costo_Unitario]]*ventas_raw_200[[#This Row],[Cantidad_Auditada]]</f>
        <v>38000</v>
      </c>
      <c r="T153">
        <f>ventas_raw_200[[#This Row],[Total_Venta]]-ventas_raw_200[[#This Row],[Total_Costo]]</f>
        <v>22000</v>
      </c>
      <c r="U153" s="3" cm="1">
        <f t="array" ref="U153">_xlfn.IFS(AND(G153&gt;25000,I153="Corrientes"),O153*G153*0.06,G153&gt;25000,O153*G153*0.04,TRUE,O153*G153*0.02)</f>
        <v>1200</v>
      </c>
    </row>
    <row r="154" spans="1:21" x14ac:dyDescent="0.25">
      <c r="A154" t="s">
        <v>210</v>
      </c>
      <c r="B154" s="1">
        <v>46111</v>
      </c>
      <c r="C154" t="s">
        <v>25</v>
      </c>
      <c r="D154" t="s">
        <v>10</v>
      </c>
      <c r="E154" t="s">
        <v>64</v>
      </c>
      <c r="F154">
        <v>13</v>
      </c>
      <c r="G154">
        <v>18500</v>
      </c>
      <c r="H154">
        <v>12500</v>
      </c>
      <c r="I154" t="str">
        <f>PROPER(TRIM(ventas_raw_200[[#This Row],[Sucursal]]))</f>
        <v>Formosa</v>
      </c>
      <c r="J154" t="str">
        <f>PROPER(TRIM(ventas_raw_200[[#This Row],[Vendedor]]))</f>
        <v>Ana Martinez</v>
      </c>
      <c r="K154" t="str">
        <f>PROPER(TRIM(ventas_raw_200[[#This Row],[Producto]]))</f>
        <v>Café En Grano Intenso 1Kg</v>
      </c>
      <c r="L154">
        <f>LEN(ventas_raw_200[[#This Row],[ID_Transaccion]])</f>
        <v>8</v>
      </c>
      <c r="M154" t="str">
        <f>TRIM(ventas_raw_200[[#This Row],[ID_Transaccion]])</f>
        <v>TRX-1153</v>
      </c>
      <c r="N154">
        <f>LEN(ventas_raw_200[[#This Row],[ID_Transaccion_Limpio]])</f>
        <v>8</v>
      </c>
      <c r="O154" s="2">
        <f>IFERROR(IF(ventas_raw_200[[#This Row],[Cantidad]]&lt;0,1,ventas_raw_200[[#This Row],[Cantidad]]),1)</f>
        <v>13</v>
      </c>
      <c r="P154" t="str">
        <f>IFERROR(_xlfn.XLOOKUP(K154,maestro_productos_15!$B$2:$B$16,maestro_productos_15!$C$2:$C$16),"No encontrada")</f>
        <v>Alimentos</v>
      </c>
      <c r="Q154" t="str">
        <f>IFERROR(_xlfn.XLOOKUP(K154,maestro_productos_15!$B$2:$B$16,maestro_productos_15!$D$2:$D$16),"No encontrada")</f>
        <v>Distribuidora del Nordeste</v>
      </c>
      <c r="R154">
        <f>ventas_raw_200[[#This Row],[Precio_Unitario]]*ventas_raw_200[[#This Row],[Cantidad_Auditada]]</f>
        <v>240500</v>
      </c>
      <c r="S154">
        <f>ventas_raw_200[[#This Row],[Costo_Unitario]]*ventas_raw_200[[#This Row],[Cantidad_Auditada]]</f>
        <v>162500</v>
      </c>
      <c r="T154">
        <f>ventas_raw_200[[#This Row],[Total_Venta]]-ventas_raw_200[[#This Row],[Total_Costo]]</f>
        <v>78000</v>
      </c>
      <c r="U154" s="3" cm="1">
        <f t="array" ref="U154">_xlfn.IFS(AND(G154&gt;25000,I154="Corrientes"),O154*G154*0.06,G154&gt;25000,O154*G154*0.04,TRUE,O154*G154*0.02)</f>
        <v>4810</v>
      </c>
    </row>
    <row r="155" spans="1:21" x14ac:dyDescent="0.25">
      <c r="A155" t="s">
        <v>211</v>
      </c>
      <c r="B155" s="1">
        <v>46084</v>
      </c>
      <c r="C155" t="s">
        <v>56</v>
      </c>
      <c r="D155" t="s">
        <v>14</v>
      </c>
      <c r="E155" t="s">
        <v>17</v>
      </c>
      <c r="F155">
        <v>4</v>
      </c>
      <c r="G155">
        <v>15000</v>
      </c>
      <c r="H155">
        <v>9500</v>
      </c>
      <c r="I155" t="str">
        <f>PROPER(TRIM(ventas_raw_200[[#This Row],[Sucursal]]))</f>
        <v>Resistencia</v>
      </c>
      <c r="J155" t="str">
        <f>PROPER(TRIM(ventas_raw_200[[#This Row],[Vendedor]]))</f>
        <v>Juan Perez</v>
      </c>
      <c r="K155" t="str">
        <f>PROPER(TRIM(ventas_raw_200[[#This Row],[Producto]]))</f>
        <v>Mouse Inalámbrico Ergonómico</v>
      </c>
      <c r="L155">
        <f>LEN(ventas_raw_200[[#This Row],[ID_Transaccion]])</f>
        <v>10</v>
      </c>
      <c r="M155" t="str">
        <f>TRIM(ventas_raw_200[[#This Row],[ID_Transaccion]])</f>
        <v>TRX-1154</v>
      </c>
      <c r="N155">
        <f>LEN(ventas_raw_200[[#This Row],[ID_Transaccion_Limpio]])</f>
        <v>8</v>
      </c>
      <c r="O155" s="2">
        <f>IFERROR(IF(ventas_raw_200[[#This Row],[Cantidad]]&lt;0,1,ventas_raw_200[[#This Row],[Cantidad]]),1)</f>
        <v>4</v>
      </c>
      <c r="P155" t="str">
        <f>IFERROR(_xlfn.XLOOKUP(K155,maestro_productos_15!$B$2:$B$16,maestro_productos_15!$C$2:$C$16),"No encontrada")</f>
        <v>Tecnología</v>
      </c>
      <c r="Q155" t="str">
        <f>IFERROR(_xlfn.XLOOKUP(K155,maestro_productos_15!$B$2:$B$16,maestro_productos_15!$D$2:$D$16),"No encontrada")</f>
        <v>TechImport S.R.L.</v>
      </c>
      <c r="R155">
        <f>ventas_raw_200[[#This Row],[Precio_Unitario]]*ventas_raw_200[[#This Row],[Cantidad_Auditada]]</f>
        <v>60000</v>
      </c>
      <c r="S155">
        <f>ventas_raw_200[[#This Row],[Costo_Unitario]]*ventas_raw_200[[#This Row],[Cantidad_Auditada]]</f>
        <v>38000</v>
      </c>
      <c r="T155">
        <f>ventas_raw_200[[#This Row],[Total_Venta]]-ventas_raw_200[[#This Row],[Total_Costo]]</f>
        <v>22000</v>
      </c>
      <c r="U155" s="3" cm="1">
        <f t="array" ref="U155">_xlfn.IFS(AND(G155&gt;25000,I155="Corrientes"),O155*G155*0.06,G155&gt;25000,O155*G155*0.04,TRUE,O155*G155*0.02)</f>
        <v>1200</v>
      </c>
    </row>
    <row r="156" spans="1:21" x14ac:dyDescent="0.25">
      <c r="A156" t="s">
        <v>212</v>
      </c>
      <c r="B156" s="1">
        <v>46030</v>
      </c>
      <c r="C156" t="s">
        <v>56</v>
      </c>
      <c r="D156" t="s">
        <v>20</v>
      </c>
      <c r="E156" t="s">
        <v>99</v>
      </c>
      <c r="F156">
        <v>12</v>
      </c>
      <c r="G156">
        <v>18500</v>
      </c>
      <c r="H156">
        <v>12500</v>
      </c>
      <c r="I156" t="str">
        <f>PROPER(TRIM(ventas_raw_200[[#This Row],[Sucursal]]))</f>
        <v>Resistencia</v>
      </c>
      <c r="J156" t="str">
        <f>PROPER(TRIM(ventas_raw_200[[#This Row],[Vendedor]]))</f>
        <v>Ana Martinez</v>
      </c>
      <c r="K156" t="str">
        <f>PROPER(TRIM(ventas_raw_200[[#This Row],[Producto]]))</f>
        <v>Café En Grano Intenso 1Kg</v>
      </c>
      <c r="L156">
        <f>LEN(ventas_raw_200[[#This Row],[ID_Transaccion]])</f>
        <v>8</v>
      </c>
      <c r="M156" t="str">
        <f>TRIM(ventas_raw_200[[#This Row],[ID_Transaccion]])</f>
        <v>TRX-1155</v>
      </c>
      <c r="N156">
        <f>LEN(ventas_raw_200[[#This Row],[ID_Transaccion_Limpio]])</f>
        <v>8</v>
      </c>
      <c r="O156" s="2">
        <f>IFERROR(IF(ventas_raw_200[[#This Row],[Cantidad]]&lt;0,1,ventas_raw_200[[#This Row],[Cantidad]]),1)</f>
        <v>12</v>
      </c>
      <c r="P156" t="str">
        <f>IFERROR(_xlfn.XLOOKUP(K156,maestro_productos_15!$B$2:$B$16,maestro_productos_15!$C$2:$C$16),"No encontrada")</f>
        <v>Alimentos</v>
      </c>
      <c r="Q156" t="str">
        <f>IFERROR(_xlfn.XLOOKUP(K156,maestro_productos_15!$B$2:$B$16,maestro_productos_15!$D$2:$D$16),"No encontrada")</f>
        <v>Distribuidora del Nordeste</v>
      </c>
      <c r="R156">
        <f>ventas_raw_200[[#This Row],[Precio_Unitario]]*ventas_raw_200[[#This Row],[Cantidad_Auditada]]</f>
        <v>222000</v>
      </c>
      <c r="S156">
        <f>ventas_raw_200[[#This Row],[Costo_Unitario]]*ventas_raw_200[[#This Row],[Cantidad_Auditada]]</f>
        <v>150000</v>
      </c>
      <c r="T156">
        <f>ventas_raw_200[[#This Row],[Total_Venta]]-ventas_raw_200[[#This Row],[Total_Costo]]</f>
        <v>72000</v>
      </c>
      <c r="U156" s="3" cm="1">
        <f t="array" ref="U156">_xlfn.IFS(AND(G156&gt;25000,I156="Corrientes"),O156*G156*0.06,G156&gt;25000,O156*G156*0.04,TRUE,O156*G156*0.02)</f>
        <v>4440</v>
      </c>
    </row>
    <row r="157" spans="1:21" x14ac:dyDescent="0.25">
      <c r="A157" t="s">
        <v>213</v>
      </c>
      <c r="B157" s="1">
        <v>46095</v>
      </c>
      <c r="C157" t="s">
        <v>13</v>
      </c>
      <c r="D157" t="s">
        <v>49</v>
      </c>
      <c r="E157" t="s">
        <v>214</v>
      </c>
      <c r="F157">
        <v>20</v>
      </c>
      <c r="G157">
        <v>22000</v>
      </c>
      <c r="H157">
        <v>14000</v>
      </c>
      <c r="I157" t="str">
        <f>PROPER(TRIM(ventas_raw_200[[#This Row],[Sucursal]]))</f>
        <v>Posadas</v>
      </c>
      <c r="J157" t="str">
        <f>PROPER(TRIM(ventas_raw_200[[#This Row],[Vendedor]]))</f>
        <v>Carlos Ruiz</v>
      </c>
      <c r="K157" t="str">
        <f>PROPER(TRIM(ventas_raw_200[[#This Row],[Producto]]))</f>
        <v>Cargador Rápido Usb-C 65W</v>
      </c>
      <c r="L157">
        <f>LEN(ventas_raw_200[[#This Row],[ID_Transaccion]])</f>
        <v>8</v>
      </c>
      <c r="M157" t="str">
        <f>TRIM(ventas_raw_200[[#This Row],[ID_Transaccion]])</f>
        <v>TRX-1156</v>
      </c>
      <c r="N157">
        <f>LEN(ventas_raw_200[[#This Row],[ID_Transaccion_Limpio]])</f>
        <v>8</v>
      </c>
      <c r="O157" s="2">
        <f>IFERROR(IF(ventas_raw_200[[#This Row],[Cantidad]]&lt;0,1,ventas_raw_200[[#This Row],[Cantidad]]),1)</f>
        <v>20</v>
      </c>
      <c r="P157" t="str">
        <f>IFERROR(_xlfn.XLOOKUP(K157,maestro_productos_15!$B$2:$B$16,maestro_productos_15!$C$2:$C$16),"No encontrada")</f>
        <v>Tecnología</v>
      </c>
      <c r="Q157" t="str">
        <f>IFERROR(_xlfn.XLOOKUP(K157,maestro_productos_15!$B$2:$B$16,maestro_productos_15!$D$2:$D$16),"No encontrada")</f>
        <v>TechImport S.R.L.</v>
      </c>
      <c r="R157">
        <f>ventas_raw_200[[#This Row],[Precio_Unitario]]*ventas_raw_200[[#This Row],[Cantidad_Auditada]]</f>
        <v>440000</v>
      </c>
      <c r="S157">
        <f>ventas_raw_200[[#This Row],[Costo_Unitario]]*ventas_raw_200[[#This Row],[Cantidad_Auditada]]</f>
        <v>280000</v>
      </c>
      <c r="T157">
        <f>ventas_raw_200[[#This Row],[Total_Venta]]-ventas_raw_200[[#This Row],[Total_Costo]]</f>
        <v>160000</v>
      </c>
      <c r="U157" s="3" cm="1">
        <f t="array" ref="U157">_xlfn.IFS(AND(G157&gt;25000,I157="Corrientes"),O157*G157*0.06,G157&gt;25000,O157*G157*0.04,TRUE,O157*G157*0.02)</f>
        <v>8800</v>
      </c>
    </row>
    <row r="158" spans="1:21" x14ac:dyDescent="0.25">
      <c r="A158" t="s">
        <v>215</v>
      </c>
      <c r="B158" s="1">
        <v>46110</v>
      </c>
      <c r="C158" t="s">
        <v>19</v>
      </c>
      <c r="D158" t="s">
        <v>10</v>
      </c>
      <c r="E158" t="s">
        <v>53</v>
      </c>
      <c r="F158">
        <v>5</v>
      </c>
      <c r="G158">
        <v>15000</v>
      </c>
      <c r="H158">
        <v>9500</v>
      </c>
      <c r="I158" t="str">
        <f>PROPER(TRIM(ventas_raw_200[[#This Row],[Sucursal]]))</f>
        <v>Resistencia</v>
      </c>
      <c r="J158" t="str">
        <f>PROPER(TRIM(ventas_raw_200[[#This Row],[Vendedor]]))</f>
        <v>Ana Martinez</v>
      </c>
      <c r="K158" t="str">
        <f>PROPER(TRIM(ventas_raw_200[[#This Row],[Producto]]))</f>
        <v>Mouse Inalámbrico Ergonómico</v>
      </c>
      <c r="L158">
        <f>LEN(ventas_raw_200[[#This Row],[ID_Transaccion]])</f>
        <v>8</v>
      </c>
      <c r="M158" t="str">
        <f>TRIM(ventas_raw_200[[#This Row],[ID_Transaccion]])</f>
        <v>TRX-1157</v>
      </c>
      <c r="N158">
        <f>LEN(ventas_raw_200[[#This Row],[ID_Transaccion_Limpio]])</f>
        <v>8</v>
      </c>
      <c r="O158" s="2">
        <f>IFERROR(IF(ventas_raw_200[[#This Row],[Cantidad]]&lt;0,1,ventas_raw_200[[#This Row],[Cantidad]]),1)</f>
        <v>5</v>
      </c>
      <c r="P158" t="str">
        <f>IFERROR(_xlfn.XLOOKUP(K158,maestro_productos_15!$B$2:$B$16,maestro_productos_15!$C$2:$C$16),"No encontrada")</f>
        <v>Tecnología</v>
      </c>
      <c r="Q158" t="str">
        <f>IFERROR(_xlfn.XLOOKUP(K158,maestro_productos_15!$B$2:$B$16,maestro_productos_15!$D$2:$D$16),"No encontrada")</f>
        <v>TechImport S.R.L.</v>
      </c>
      <c r="R158">
        <f>ventas_raw_200[[#This Row],[Precio_Unitario]]*ventas_raw_200[[#This Row],[Cantidad_Auditada]]</f>
        <v>75000</v>
      </c>
      <c r="S158">
        <f>ventas_raw_200[[#This Row],[Costo_Unitario]]*ventas_raw_200[[#This Row],[Cantidad_Auditada]]</f>
        <v>47500</v>
      </c>
      <c r="T158">
        <f>ventas_raw_200[[#This Row],[Total_Venta]]-ventas_raw_200[[#This Row],[Total_Costo]]</f>
        <v>27500</v>
      </c>
      <c r="U158" s="3" cm="1">
        <f t="array" ref="U158">_xlfn.IFS(AND(G158&gt;25000,I158="Corrientes"),O158*G158*0.06,G158&gt;25000,O158*G158*0.04,TRUE,O158*G158*0.02)</f>
        <v>1500</v>
      </c>
    </row>
    <row r="159" spans="1:21" x14ac:dyDescent="0.25">
      <c r="A159" t="s">
        <v>216</v>
      </c>
      <c r="B159" s="1">
        <v>46050</v>
      </c>
      <c r="C159" t="s">
        <v>56</v>
      </c>
      <c r="D159" t="s">
        <v>14</v>
      </c>
      <c r="E159" t="s">
        <v>217</v>
      </c>
      <c r="F159">
        <v>18</v>
      </c>
      <c r="G159">
        <v>28000</v>
      </c>
      <c r="H159">
        <v>18000</v>
      </c>
      <c r="I159" t="str">
        <f>PROPER(TRIM(ventas_raw_200[[#This Row],[Sucursal]]))</f>
        <v>Resistencia</v>
      </c>
      <c r="J159" t="str">
        <f>PROPER(TRIM(ventas_raw_200[[#This Row],[Vendedor]]))</f>
        <v>Juan Perez</v>
      </c>
      <c r="K159" t="str">
        <f>PROPER(TRIM(ventas_raw_200[[#This Row],[Producto]]))</f>
        <v>Auriculares Bluetooth Pro</v>
      </c>
      <c r="L159">
        <f>LEN(ventas_raw_200[[#This Row],[ID_Transaccion]])</f>
        <v>8</v>
      </c>
      <c r="M159" t="str">
        <f>TRIM(ventas_raw_200[[#This Row],[ID_Transaccion]])</f>
        <v>TRX-1158</v>
      </c>
      <c r="N159">
        <f>LEN(ventas_raw_200[[#This Row],[ID_Transaccion_Limpio]])</f>
        <v>8</v>
      </c>
      <c r="O159" s="2">
        <f>IFERROR(IF(ventas_raw_200[[#This Row],[Cantidad]]&lt;0,1,ventas_raw_200[[#This Row],[Cantidad]]),1)</f>
        <v>18</v>
      </c>
      <c r="P159" t="str">
        <f>IFERROR(_xlfn.XLOOKUP(K159,maestro_productos_15!$B$2:$B$16,maestro_productos_15!$C$2:$C$16),"No encontrada")</f>
        <v>Tecnología</v>
      </c>
      <c r="Q159" t="str">
        <f>IFERROR(_xlfn.XLOOKUP(K159,maestro_productos_15!$B$2:$B$16,maestro_productos_15!$D$2:$D$16),"No encontrada")</f>
        <v>TechImport S.R.L.</v>
      </c>
      <c r="R159">
        <f>ventas_raw_200[[#This Row],[Precio_Unitario]]*ventas_raw_200[[#This Row],[Cantidad_Auditada]]</f>
        <v>504000</v>
      </c>
      <c r="S159">
        <f>ventas_raw_200[[#This Row],[Costo_Unitario]]*ventas_raw_200[[#This Row],[Cantidad_Auditada]]</f>
        <v>324000</v>
      </c>
      <c r="T159">
        <f>ventas_raw_200[[#This Row],[Total_Venta]]-ventas_raw_200[[#This Row],[Total_Costo]]</f>
        <v>180000</v>
      </c>
      <c r="U159" s="3" cm="1">
        <f t="array" ref="U159">_xlfn.IFS(AND(G159&gt;25000,I159="Corrientes"),O159*G159*0.06,G159&gt;25000,O159*G159*0.04,TRUE,O159*G159*0.02)</f>
        <v>20160</v>
      </c>
    </row>
    <row r="160" spans="1:21" x14ac:dyDescent="0.25">
      <c r="A160" t="s">
        <v>218</v>
      </c>
      <c r="B160" s="1">
        <v>46110</v>
      </c>
      <c r="C160" t="s">
        <v>38</v>
      </c>
      <c r="D160" t="s">
        <v>10</v>
      </c>
      <c r="E160" t="s">
        <v>74</v>
      </c>
      <c r="F160">
        <v>14</v>
      </c>
      <c r="G160">
        <v>28000</v>
      </c>
      <c r="H160">
        <v>18000</v>
      </c>
      <c r="I160" t="str">
        <f>PROPER(TRIM(ventas_raw_200[[#This Row],[Sucursal]]))</f>
        <v>Posadas</v>
      </c>
      <c r="J160" t="str">
        <f>PROPER(TRIM(ventas_raw_200[[#This Row],[Vendedor]]))</f>
        <v>Ana Martinez</v>
      </c>
      <c r="K160" t="str">
        <f>PROPER(TRIM(ventas_raw_200[[#This Row],[Producto]]))</f>
        <v>Auriculares Bluetooth Pro</v>
      </c>
      <c r="L160">
        <f>LEN(ventas_raw_200[[#This Row],[ID_Transaccion]])</f>
        <v>8</v>
      </c>
      <c r="M160" t="str">
        <f>TRIM(ventas_raw_200[[#This Row],[ID_Transaccion]])</f>
        <v>TRX-1159</v>
      </c>
      <c r="N160">
        <f>LEN(ventas_raw_200[[#This Row],[ID_Transaccion_Limpio]])</f>
        <v>8</v>
      </c>
      <c r="O160" s="2">
        <f>IFERROR(IF(ventas_raw_200[[#This Row],[Cantidad]]&lt;0,1,ventas_raw_200[[#This Row],[Cantidad]]),1)</f>
        <v>14</v>
      </c>
      <c r="P160" t="str">
        <f>IFERROR(_xlfn.XLOOKUP(K160,maestro_productos_15!$B$2:$B$16,maestro_productos_15!$C$2:$C$16),"No encontrada")</f>
        <v>Tecnología</v>
      </c>
      <c r="Q160" t="str">
        <f>IFERROR(_xlfn.XLOOKUP(K160,maestro_productos_15!$B$2:$B$16,maestro_productos_15!$D$2:$D$16),"No encontrada")</f>
        <v>TechImport S.R.L.</v>
      </c>
      <c r="R160">
        <f>ventas_raw_200[[#This Row],[Precio_Unitario]]*ventas_raw_200[[#This Row],[Cantidad_Auditada]]</f>
        <v>392000</v>
      </c>
      <c r="S160">
        <f>ventas_raw_200[[#This Row],[Costo_Unitario]]*ventas_raw_200[[#This Row],[Cantidad_Auditada]]</f>
        <v>252000</v>
      </c>
      <c r="T160">
        <f>ventas_raw_200[[#This Row],[Total_Venta]]-ventas_raw_200[[#This Row],[Total_Costo]]</f>
        <v>140000</v>
      </c>
      <c r="U160" s="3" cm="1">
        <f t="array" ref="U160">_xlfn.IFS(AND(G160&gt;25000,I160="Corrientes"),O160*G160*0.06,G160&gt;25000,O160*G160*0.04,TRUE,O160*G160*0.02)</f>
        <v>15680</v>
      </c>
    </row>
    <row r="161" spans="1:21" x14ac:dyDescent="0.25">
      <c r="A161" t="s">
        <v>219</v>
      </c>
      <c r="B161" s="1">
        <v>46082</v>
      </c>
      <c r="C161" t="s">
        <v>25</v>
      </c>
      <c r="D161" t="s">
        <v>69</v>
      </c>
      <c r="E161" t="s">
        <v>191</v>
      </c>
      <c r="F161">
        <v>9</v>
      </c>
      <c r="G161">
        <v>19500</v>
      </c>
      <c r="H161">
        <v>12000</v>
      </c>
      <c r="I161" t="str">
        <f>PROPER(TRIM(ventas_raw_200[[#This Row],[Sucursal]]))</f>
        <v>Formosa</v>
      </c>
      <c r="J161" t="str">
        <f>PROPER(TRIM(ventas_raw_200[[#This Row],[Vendedor]]))</f>
        <v>Carlos Ruiz</v>
      </c>
      <c r="K161" t="str">
        <f>PROPER(TRIM(ventas_raw_200[[#This Row],[Producto]]))</f>
        <v>Soporte Regulable Notebook</v>
      </c>
      <c r="L161">
        <f>LEN(ventas_raw_200[[#This Row],[ID_Transaccion]])</f>
        <v>8</v>
      </c>
      <c r="M161" t="str">
        <f>TRIM(ventas_raw_200[[#This Row],[ID_Transaccion]])</f>
        <v>TRX-1160</v>
      </c>
      <c r="N161">
        <f>LEN(ventas_raw_200[[#This Row],[ID_Transaccion_Limpio]])</f>
        <v>8</v>
      </c>
      <c r="O161" s="2">
        <f>IFERROR(IF(ventas_raw_200[[#This Row],[Cantidad]]&lt;0,1,ventas_raw_200[[#This Row],[Cantidad]]),1)</f>
        <v>9</v>
      </c>
      <c r="P161" t="str">
        <f>IFERROR(_xlfn.XLOOKUP(K161,maestro_productos_15!$B$2:$B$16,maestro_productos_15!$C$2:$C$16),"No encontrada")</f>
        <v>Tecnología</v>
      </c>
      <c r="Q161" t="str">
        <f>IFERROR(_xlfn.XLOOKUP(K161,maestro_productos_15!$B$2:$B$16,maestro_productos_15!$D$2:$D$16),"No encontrada")</f>
        <v>TechImport S.R.L.</v>
      </c>
      <c r="R161">
        <f>ventas_raw_200[[#This Row],[Precio_Unitario]]*ventas_raw_200[[#This Row],[Cantidad_Auditada]]</f>
        <v>175500</v>
      </c>
      <c r="S161">
        <f>ventas_raw_200[[#This Row],[Costo_Unitario]]*ventas_raw_200[[#This Row],[Cantidad_Auditada]]</f>
        <v>108000</v>
      </c>
      <c r="T161">
        <f>ventas_raw_200[[#This Row],[Total_Venta]]-ventas_raw_200[[#This Row],[Total_Costo]]</f>
        <v>67500</v>
      </c>
      <c r="U161" s="3" cm="1">
        <f t="array" ref="U161">_xlfn.IFS(AND(G161&gt;25000,I161="Corrientes"),O161*G161*0.06,G161&gt;25000,O161*G161*0.04,TRUE,O161*G161*0.02)</f>
        <v>3510</v>
      </c>
    </row>
    <row r="162" spans="1:21" x14ac:dyDescent="0.25">
      <c r="A162" t="s">
        <v>220</v>
      </c>
      <c r="B162" s="1">
        <v>46079</v>
      </c>
      <c r="C162" t="s">
        <v>56</v>
      </c>
      <c r="D162" t="s">
        <v>33</v>
      </c>
      <c r="E162" t="s">
        <v>43</v>
      </c>
      <c r="F162">
        <v>4</v>
      </c>
      <c r="G162">
        <v>6200</v>
      </c>
      <c r="H162">
        <v>3800</v>
      </c>
      <c r="I162" t="str">
        <f>PROPER(TRIM(ventas_raw_200[[#This Row],[Sucursal]]))</f>
        <v>Resistencia</v>
      </c>
      <c r="J162" t="str">
        <f>PROPER(TRIM(ventas_raw_200[[#This Row],[Vendedor]]))</f>
        <v>Juan Perez</v>
      </c>
      <c r="K162" t="str">
        <f>PROPER(TRIM(ventas_raw_200[[#This Row],[Producto]]))</f>
        <v>Shampoo Canino Neutro 500Ml</v>
      </c>
      <c r="L162">
        <f>LEN(ventas_raw_200[[#This Row],[ID_Transaccion]])</f>
        <v>8</v>
      </c>
      <c r="M162" t="str">
        <f>TRIM(ventas_raw_200[[#This Row],[ID_Transaccion]])</f>
        <v>TRX-1161</v>
      </c>
      <c r="N162">
        <f>LEN(ventas_raw_200[[#This Row],[ID_Transaccion_Limpio]])</f>
        <v>8</v>
      </c>
      <c r="O162" s="2">
        <f>IFERROR(IF(ventas_raw_200[[#This Row],[Cantidad]]&lt;0,1,ventas_raw_200[[#This Row],[Cantidad]]),1)</f>
        <v>4</v>
      </c>
      <c r="P162" t="str">
        <f>IFERROR(_xlfn.XLOOKUP(K162,maestro_productos_15!$B$2:$B$16,maestro_productos_15!$C$2:$C$16),"No encontrada")</f>
        <v>Mascotas</v>
      </c>
      <c r="Q162" t="str">
        <f>IFERROR(_xlfn.XLOOKUP(K162,maestro_productos_15!$B$2:$B$16,maestro_productos_15!$D$2:$D$16),"No encontrada")</f>
        <v>PetStyle Litoral</v>
      </c>
      <c r="R162">
        <f>ventas_raw_200[[#This Row],[Precio_Unitario]]*ventas_raw_200[[#This Row],[Cantidad_Auditada]]</f>
        <v>24800</v>
      </c>
      <c r="S162">
        <f>ventas_raw_200[[#This Row],[Costo_Unitario]]*ventas_raw_200[[#This Row],[Cantidad_Auditada]]</f>
        <v>15200</v>
      </c>
      <c r="T162">
        <f>ventas_raw_200[[#This Row],[Total_Venta]]-ventas_raw_200[[#This Row],[Total_Costo]]</f>
        <v>9600</v>
      </c>
      <c r="U162" s="3" cm="1">
        <f t="array" ref="U162">_xlfn.IFS(AND(G162&gt;25000,I162="Corrientes"),O162*G162*0.06,G162&gt;25000,O162*G162*0.04,TRUE,O162*G162*0.02)</f>
        <v>496</v>
      </c>
    </row>
    <row r="163" spans="1:21" x14ac:dyDescent="0.25">
      <c r="A163" t="s">
        <v>221</v>
      </c>
      <c r="B163" s="1">
        <v>46098</v>
      </c>
      <c r="C163" t="s">
        <v>56</v>
      </c>
      <c r="D163" t="s">
        <v>30</v>
      </c>
      <c r="E163" t="s">
        <v>64</v>
      </c>
      <c r="F163">
        <v>4</v>
      </c>
      <c r="G163">
        <v>18500</v>
      </c>
      <c r="H163">
        <v>12500</v>
      </c>
      <c r="I163" t="str">
        <f>PROPER(TRIM(ventas_raw_200[[#This Row],[Sucursal]]))</f>
        <v>Resistencia</v>
      </c>
      <c r="J163" t="str">
        <f>PROPER(TRIM(ventas_raw_200[[#This Row],[Vendedor]]))</f>
        <v>Maria Gomez</v>
      </c>
      <c r="K163" t="str">
        <f>PROPER(TRIM(ventas_raw_200[[#This Row],[Producto]]))</f>
        <v>Café En Grano Intenso 1Kg</v>
      </c>
      <c r="L163">
        <f>LEN(ventas_raw_200[[#This Row],[ID_Transaccion]])</f>
        <v>8</v>
      </c>
      <c r="M163" t="str">
        <f>TRIM(ventas_raw_200[[#This Row],[ID_Transaccion]])</f>
        <v>TRX-1162</v>
      </c>
      <c r="N163">
        <f>LEN(ventas_raw_200[[#This Row],[ID_Transaccion_Limpio]])</f>
        <v>8</v>
      </c>
      <c r="O163" s="2">
        <f>IFERROR(IF(ventas_raw_200[[#This Row],[Cantidad]]&lt;0,1,ventas_raw_200[[#This Row],[Cantidad]]),1)</f>
        <v>4</v>
      </c>
      <c r="P163" t="str">
        <f>IFERROR(_xlfn.XLOOKUP(K163,maestro_productos_15!$B$2:$B$16,maestro_productos_15!$C$2:$C$16),"No encontrada")</f>
        <v>Alimentos</v>
      </c>
      <c r="Q163" t="str">
        <f>IFERROR(_xlfn.XLOOKUP(K163,maestro_productos_15!$B$2:$B$16,maestro_productos_15!$D$2:$D$16),"No encontrada")</f>
        <v>Distribuidora del Nordeste</v>
      </c>
      <c r="R163">
        <f>ventas_raw_200[[#This Row],[Precio_Unitario]]*ventas_raw_200[[#This Row],[Cantidad_Auditada]]</f>
        <v>74000</v>
      </c>
      <c r="S163">
        <f>ventas_raw_200[[#This Row],[Costo_Unitario]]*ventas_raw_200[[#This Row],[Cantidad_Auditada]]</f>
        <v>50000</v>
      </c>
      <c r="T163">
        <f>ventas_raw_200[[#This Row],[Total_Venta]]-ventas_raw_200[[#This Row],[Total_Costo]]</f>
        <v>24000</v>
      </c>
      <c r="U163" s="3" cm="1">
        <f t="array" ref="U163">_xlfn.IFS(AND(G163&gt;25000,I163="Corrientes"),O163*G163*0.06,G163&gt;25000,O163*G163*0.04,TRUE,O163*G163*0.02)</f>
        <v>1480</v>
      </c>
    </row>
    <row r="164" spans="1:21" x14ac:dyDescent="0.25">
      <c r="A164" t="s">
        <v>222</v>
      </c>
      <c r="B164" s="1">
        <v>46084</v>
      </c>
      <c r="C164" t="s">
        <v>38</v>
      </c>
      <c r="D164" t="s">
        <v>10</v>
      </c>
      <c r="E164" t="s">
        <v>93</v>
      </c>
      <c r="F164">
        <v>1</v>
      </c>
      <c r="G164">
        <v>3800</v>
      </c>
      <c r="H164">
        <v>2500</v>
      </c>
      <c r="I164" t="str">
        <f>PROPER(TRIM(ventas_raw_200[[#This Row],[Sucursal]]))</f>
        <v>Posadas</v>
      </c>
      <c r="J164" t="str">
        <f>PROPER(TRIM(ventas_raw_200[[#This Row],[Vendedor]]))</f>
        <v>Ana Martinez</v>
      </c>
      <c r="K164" t="str">
        <f>PROPER(TRIM(ventas_raw_200[[#This Row],[Producto]]))</f>
        <v>Yerba Mate Premium 1Kg</v>
      </c>
      <c r="L164">
        <f>LEN(ventas_raw_200[[#This Row],[ID_Transaccion]])</f>
        <v>8</v>
      </c>
      <c r="M164" t="str">
        <f>TRIM(ventas_raw_200[[#This Row],[ID_Transaccion]])</f>
        <v>TRX-1163</v>
      </c>
      <c r="N164">
        <f>LEN(ventas_raw_200[[#This Row],[ID_Transaccion_Limpio]])</f>
        <v>8</v>
      </c>
      <c r="O164" s="2">
        <f>IFERROR(IF(ventas_raw_200[[#This Row],[Cantidad]]&lt;0,1,ventas_raw_200[[#This Row],[Cantidad]]),1)</f>
        <v>1</v>
      </c>
      <c r="P164" t="str">
        <f>IFERROR(_xlfn.XLOOKUP(K164,maestro_productos_15!$B$2:$B$16,maestro_productos_15!$C$2:$C$16),"No encontrada")</f>
        <v>Alimentos</v>
      </c>
      <c r="Q164" t="str">
        <f>IFERROR(_xlfn.XLOOKUP(K164,maestro_productos_15!$B$2:$B$16,maestro_productos_15!$D$2:$D$16),"No encontrada")</f>
        <v>Cooperativa Neike</v>
      </c>
      <c r="R164">
        <f>ventas_raw_200[[#This Row],[Precio_Unitario]]*ventas_raw_200[[#This Row],[Cantidad_Auditada]]</f>
        <v>3800</v>
      </c>
      <c r="S164">
        <f>ventas_raw_200[[#This Row],[Costo_Unitario]]*ventas_raw_200[[#This Row],[Cantidad_Auditada]]</f>
        <v>2500</v>
      </c>
      <c r="T164">
        <f>ventas_raw_200[[#This Row],[Total_Venta]]-ventas_raw_200[[#This Row],[Total_Costo]]</f>
        <v>1300</v>
      </c>
      <c r="U164" s="3" cm="1">
        <f t="array" ref="U164">_xlfn.IFS(AND(G164&gt;25000,I164="Corrientes"),O164*G164*0.06,G164&gt;25000,O164*G164*0.04,TRUE,O164*G164*0.02)</f>
        <v>76</v>
      </c>
    </row>
    <row r="165" spans="1:21" x14ac:dyDescent="0.25">
      <c r="A165" t="s">
        <v>223</v>
      </c>
      <c r="B165" s="1">
        <v>46045</v>
      </c>
      <c r="C165" t="s">
        <v>23</v>
      </c>
      <c r="D165" t="s">
        <v>20</v>
      </c>
      <c r="E165" t="s">
        <v>17</v>
      </c>
      <c r="F165">
        <v>3</v>
      </c>
      <c r="G165">
        <v>15000</v>
      </c>
      <c r="H165">
        <v>9500</v>
      </c>
      <c r="I165" t="str">
        <f>PROPER(TRIM(ventas_raw_200[[#This Row],[Sucursal]]))</f>
        <v>Corrientes</v>
      </c>
      <c r="J165" t="str">
        <f>PROPER(TRIM(ventas_raw_200[[#This Row],[Vendedor]]))</f>
        <v>Ana Martinez</v>
      </c>
      <c r="K165" t="str">
        <f>PROPER(TRIM(ventas_raw_200[[#This Row],[Producto]]))</f>
        <v>Mouse Inalámbrico Ergonómico</v>
      </c>
      <c r="L165">
        <f>LEN(ventas_raw_200[[#This Row],[ID_Transaccion]])</f>
        <v>8</v>
      </c>
      <c r="M165" t="str">
        <f>TRIM(ventas_raw_200[[#This Row],[ID_Transaccion]])</f>
        <v>TRX-1164</v>
      </c>
      <c r="N165">
        <f>LEN(ventas_raw_200[[#This Row],[ID_Transaccion_Limpio]])</f>
        <v>8</v>
      </c>
      <c r="O165" s="2">
        <f>IFERROR(IF(ventas_raw_200[[#This Row],[Cantidad]]&lt;0,1,ventas_raw_200[[#This Row],[Cantidad]]),1)</f>
        <v>3</v>
      </c>
      <c r="P165" t="str">
        <f>IFERROR(_xlfn.XLOOKUP(K165,maestro_productos_15!$B$2:$B$16,maestro_productos_15!$C$2:$C$16),"No encontrada")</f>
        <v>Tecnología</v>
      </c>
      <c r="Q165" t="str">
        <f>IFERROR(_xlfn.XLOOKUP(K165,maestro_productos_15!$B$2:$B$16,maestro_productos_15!$D$2:$D$16),"No encontrada")</f>
        <v>TechImport S.R.L.</v>
      </c>
      <c r="R165">
        <f>ventas_raw_200[[#This Row],[Precio_Unitario]]*ventas_raw_200[[#This Row],[Cantidad_Auditada]]</f>
        <v>45000</v>
      </c>
      <c r="S165">
        <f>ventas_raw_200[[#This Row],[Costo_Unitario]]*ventas_raw_200[[#This Row],[Cantidad_Auditada]]</f>
        <v>28500</v>
      </c>
      <c r="T165">
        <f>ventas_raw_200[[#This Row],[Total_Venta]]-ventas_raw_200[[#This Row],[Total_Costo]]</f>
        <v>16500</v>
      </c>
      <c r="U165" s="3" cm="1">
        <f t="array" ref="U165">_xlfn.IFS(AND(G165&gt;25000,I165="Corrientes"),O165*G165*0.06,G165&gt;25000,O165*G165*0.04,TRUE,O165*G165*0.02)</f>
        <v>900</v>
      </c>
    </row>
    <row r="166" spans="1:21" x14ac:dyDescent="0.25">
      <c r="A166" t="s">
        <v>224</v>
      </c>
      <c r="B166" s="1">
        <v>46026</v>
      </c>
      <c r="C166" t="s">
        <v>25</v>
      </c>
      <c r="D166" t="s">
        <v>33</v>
      </c>
      <c r="E166" t="s">
        <v>64</v>
      </c>
      <c r="F166">
        <v>5</v>
      </c>
      <c r="G166">
        <v>18500</v>
      </c>
      <c r="H166">
        <v>12500</v>
      </c>
      <c r="I166" t="str">
        <f>PROPER(TRIM(ventas_raw_200[[#This Row],[Sucursal]]))</f>
        <v>Formosa</v>
      </c>
      <c r="J166" t="str">
        <f>PROPER(TRIM(ventas_raw_200[[#This Row],[Vendedor]]))</f>
        <v>Juan Perez</v>
      </c>
      <c r="K166" t="str">
        <f>PROPER(TRIM(ventas_raw_200[[#This Row],[Producto]]))</f>
        <v>Café En Grano Intenso 1Kg</v>
      </c>
      <c r="L166">
        <f>LEN(ventas_raw_200[[#This Row],[ID_Transaccion]])</f>
        <v>8</v>
      </c>
      <c r="M166" t="str">
        <f>TRIM(ventas_raw_200[[#This Row],[ID_Transaccion]])</f>
        <v>TRX-1165</v>
      </c>
      <c r="N166">
        <f>LEN(ventas_raw_200[[#This Row],[ID_Transaccion_Limpio]])</f>
        <v>8</v>
      </c>
      <c r="O166" s="2">
        <f>IFERROR(IF(ventas_raw_200[[#This Row],[Cantidad]]&lt;0,1,ventas_raw_200[[#This Row],[Cantidad]]),1)</f>
        <v>5</v>
      </c>
      <c r="P166" t="str">
        <f>IFERROR(_xlfn.XLOOKUP(K166,maestro_productos_15!$B$2:$B$16,maestro_productos_15!$C$2:$C$16),"No encontrada")</f>
        <v>Alimentos</v>
      </c>
      <c r="Q166" t="str">
        <f>IFERROR(_xlfn.XLOOKUP(K166,maestro_productos_15!$B$2:$B$16,maestro_productos_15!$D$2:$D$16),"No encontrada")</f>
        <v>Distribuidora del Nordeste</v>
      </c>
      <c r="R166">
        <f>ventas_raw_200[[#This Row],[Precio_Unitario]]*ventas_raw_200[[#This Row],[Cantidad_Auditada]]</f>
        <v>92500</v>
      </c>
      <c r="S166">
        <f>ventas_raw_200[[#This Row],[Costo_Unitario]]*ventas_raw_200[[#This Row],[Cantidad_Auditada]]</f>
        <v>62500</v>
      </c>
      <c r="T166">
        <f>ventas_raw_200[[#This Row],[Total_Venta]]-ventas_raw_200[[#This Row],[Total_Costo]]</f>
        <v>30000</v>
      </c>
      <c r="U166" s="3" cm="1">
        <f t="array" ref="U166">_xlfn.IFS(AND(G166&gt;25000,I166="Corrientes"),O166*G166*0.06,G166&gt;25000,O166*G166*0.04,TRUE,O166*G166*0.02)</f>
        <v>1850</v>
      </c>
    </row>
    <row r="167" spans="1:21" x14ac:dyDescent="0.25">
      <c r="A167" t="s">
        <v>225</v>
      </c>
      <c r="B167" s="1">
        <v>46109</v>
      </c>
      <c r="C167" t="s">
        <v>23</v>
      </c>
      <c r="D167" t="s">
        <v>33</v>
      </c>
      <c r="E167" t="s">
        <v>99</v>
      </c>
      <c r="F167">
        <v>6</v>
      </c>
      <c r="G167">
        <v>18500</v>
      </c>
      <c r="H167">
        <v>12500</v>
      </c>
      <c r="I167" t="str">
        <f>PROPER(TRIM(ventas_raw_200[[#This Row],[Sucursal]]))</f>
        <v>Corrientes</v>
      </c>
      <c r="J167" t="str">
        <f>PROPER(TRIM(ventas_raw_200[[#This Row],[Vendedor]]))</f>
        <v>Juan Perez</v>
      </c>
      <c r="K167" t="str">
        <f>PROPER(TRIM(ventas_raw_200[[#This Row],[Producto]]))</f>
        <v>Café En Grano Intenso 1Kg</v>
      </c>
      <c r="L167">
        <f>LEN(ventas_raw_200[[#This Row],[ID_Transaccion]])</f>
        <v>8</v>
      </c>
      <c r="M167" t="str">
        <f>TRIM(ventas_raw_200[[#This Row],[ID_Transaccion]])</f>
        <v>TRX-1166</v>
      </c>
      <c r="N167">
        <f>LEN(ventas_raw_200[[#This Row],[ID_Transaccion_Limpio]])</f>
        <v>8</v>
      </c>
      <c r="O167" s="2">
        <f>IFERROR(IF(ventas_raw_200[[#This Row],[Cantidad]]&lt;0,1,ventas_raw_200[[#This Row],[Cantidad]]),1)</f>
        <v>6</v>
      </c>
      <c r="P167" t="str">
        <f>IFERROR(_xlfn.XLOOKUP(K167,maestro_productos_15!$B$2:$B$16,maestro_productos_15!$C$2:$C$16),"No encontrada")</f>
        <v>Alimentos</v>
      </c>
      <c r="Q167" t="str">
        <f>IFERROR(_xlfn.XLOOKUP(K167,maestro_productos_15!$B$2:$B$16,maestro_productos_15!$D$2:$D$16),"No encontrada")</f>
        <v>Distribuidora del Nordeste</v>
      </c>
      <c r="R167">
        <f>ventas_raw_200[[#This Row],[Precio_Unitario]]*ventas_raw_200[[#This Row],[Cantidad_Auditada]]</f>
        <v>111000</v>
      </c>
      <c r="S167">
        <f>ventas_raw_200[[#This Row],[Costo_Unitario]]*ventas_raw_200[[#This Row],[Cantidad_Auditada]]</f>
        <v>75000</v>
      </c>
      <c r="T167">
        <f>ventas_raw_200[[#This Row],[Total_Venta]]-ventas_raw_200[[#This Row],[Total_Costo]]</f>
        <v>36000</v>
      </c>
      <c r="U167" s="3" cm="1">
        <f t="array" ref="U167">_xlfn.IFS(AND(G167&gt;25000,I167="Corrientes"),O167*G167*0.06,G167&gt;25000,O167*G167*0.04,TRUE,O167*G167*0.02)</f>
        <v>2220</v>
      </c>
    </row>
    <row r="168" spans="1:21" x14ac:dyDescent="0.25">
      <c r="A168" t="s">
        <v>226</v>
      </c>
      <c r="B168" s="1">
        <v>46075</v>
      </c>
      <c r="C168" t="s">
        <v>19</v>
      </c>
      <c r="D168" t="s">
        <v>20</v>
      </c>
      <c r="E168" t="s">
        <v>72</v>
      </c>
      <c r="F168">
        <v>19</v>
      </c>
      <c r="G168">
        <v>45000</v>
      </c>
      <c r="H168">
        <v>30000</v>
      </c>
      <c r="I168" t="str">
        <f>PROPER(TRIM(ventas_raw_200[[#This Row],[Sucursal]]))</f>
        <v>Resistencia</v>
      </c>
      <c r="J168" t="str">
        <f>PROPER(TRIM(ventas_raw_200[[#This Row],[Vendedor]]))</f>
        <v>Ana Martinez</v>
      </c>
      <c r="K168" t="str">
        <f>PROPER(TRIM(ventas_raw_200[[#This Row],[Producto]]))</f>
        <v>Teclado Mecánico Rgb</v>
      </c>
      <c r="L168">
        <f>LEN(ventas_raw_200[[#This Row],[ID_Transaccion]])</f>
        <v>8</v>
      </c>
      <c r="M168" t="str">
        <f>TRIM(ventas_raw_200[[#This Row],[ID_Transaccion]])</f>
        <v>TRX-1167</v>
      </c>
      <c r="N168">
        <f>LEN(ventas_raw_200[[#This Row],[ID_Transaccion_Limpio]])</f>
        <v>8</v>
      </c>
      <c r="O168" s="2">
        <f>IFERROR(IF(ventas_raw_200[[#This Row],[Cantidad]]&lt;0,1,ventas_raw_200[[#This Row],[Cantidad]]),1)</f>
        <v>19</v>
      </c>
      <c r="P168" t="str">
        <f>IFERROR(_xlfn.XLOOKUP(K168,maestro_productos_15!$B$2:$B$16,maestro_productos_15!$C$2:$C$16),"No encontrada")</f>
        <v>Tecnología</v>
      </c>
      <c r="Q168" t="str">
        <f>IFERROR(_xlfn.XLOOKUP(K168,maestro_productos_15!$B$2:$B$16,maestro_productos_15!$D$2:$D$16),"No encontrada")</f>
        <v>TechImport S.R.L.</v>
      </c>
      <c r="R168">
        <f>ventas_raw_200[[#This Row],[Precio_Unitario]]*ventas_raw_200[[#This Row],[Cantidad_Auditada]]</f>
        <v>855000</v>
      </c>
      <c r="S168">
        <f>ventas_raw_200[[#This Row],[Costo_Unitario]]*ventas_raw_200[[#This Row],[Cantidad_Auditada]]</f>
        <v>570000</v>
      </c>
      <c r="T168">
        <f>ventas_raw_200[[#This Row],[Total_Venta]]-ventas_raw_200[[#This Row],[Total_Costo]]</f>
        <v>285000</v>
      </c>
      <c r="U168" s="3" cm="1">
        <f t="array" ref="U168">_xlfn.IFS(AND(G168&gt;25000,I168="Corrientes"),O168*G168*0.06,G168&gt;25000,O168*G168*0.04,TRUE,O168*G168*0.02)</f>
        <v>34200</v>
      </c>
    </row>
    <row r="169" spans="1:21" x14ac:dyDescent="0.25">
      <c r="A169" t="s">
        <v>227</v>
      </c>
      <c r="B169" s="1">
        <v>46087</v>
      </c>
      <c r="C169" t="s">
        <v>56</v>
      </c>
      <c r="D169" t="s">
        <v>49</v>
      </c>
      <c r="E169" t="s">
        <v>41</v>
      </c>
      <c r="F169">
        <v>3</v>
      </c>
      <c r="G169">
        <v>4800</v>
      </c>
      <c r="H169">
        <v>2700</v>
      </c>
      <c r="I169" t="str">
        <f>PROPER(TRIM(ventas_raw_200[[#This Row],[Sucursal]]))</f>
        <v>Resistencia</v>
      </c>
      <c r="J169" t="str">
        <f>PROPER(TRIM(ventas_raw_200[[#This Row],[Vendedor]]))</f>
        <v>Carlos Ruiz</v>
      </c>
      <c r="K169" t="str">
        <f>PROPER(TRIM(ventas_raw_200[[#This Row],[Producto]]))</f>
        <v>Juguete Mordillo Goma</v>
      </c>
      <c r="L169">
        <f>LEN(ventas_raw_200[[#This Row],[ID_Transaccion]])</f>
        <v>8</v>
      </c>
      <c r="M169" t="str">
        <f>TRIM(ventas_raw_200[[#This Row],[ID_Transaccion]])</f>
        <v>TRX-1168</v>
      </c>
      <c r="N169">
        <f>LEN(ventas_raw_200[[#This Row],[ID_Transaccion_Limpio]])</f>
        <v>8</v>
      </c>
      <c r="O169" s="2">
        <f>IFERROR(IF(ventas_raw_200[[#This Row],[Cantidad]]&lt;0,1,ventas_raw_200[[#This Row],[Cantidad]]),1)</f>
        <v>3</v>
      </c>
      <c r="P169" t="str">
        <f>IFERROR(_xlfn.XLOOKUP(K169,maestro_productos_15!$B$2:$B$16,maestro_productos_15!$C$2:$C$16),"No encontrada")</f>
        <v>Mascotas</v>
      </c>
      <c r="Q169" t="str">
        <f>IFERROR(_xlfn.XLOOKUP(K169,maestro_productos_15!$B$2:$B$16,maestro_productos_15!$D$2:$D$16),"No encontrada")</f>
        <v>PetStyle Litoral</v>
      </c>
      <c r="R169">
        <f>ventas_raw_200[[#This Row],[Precio_Unitario]]*ventas_raw_200[[#This Row],[Cantidad_Auditada]]</f>
        <v>14400</v>
      </c>
      <c r="S169">
        <f>ventas_raw_200[[#This Row],[Costo_Unitario]]*ventas_raw_200[[#This Row],[Cantidad_Auditada]]</f>
        <v>8100</v>
      </c>
      <c r="T169">
        <f>ventas_raw_200[[#This Row],[Total_Venta]]-ventas_raw_200[[#This Row],[Total_Costo]]</f>
        <v>6300</v>
      </c>
      <c r="U169" s="3" cm="1">
        <f t="array" ref="U169">_xlfn.IFS(AND(G169&gt;25000,I169="Corrientes"),O169*G169*0.06,G169&gt;25000,O169*G169*0.04,TRUE,O169*G169*0.02)</f>
        <v>288</v>
      </c>
    </row>
    <row r="170" spans="1:21" x14ac:dyDescent="0.25">
      <c r="A170" t="s">
        <v>228</v>
      </c>
      <c r="B170" s="1">
        <v>46050</v>
      </c>
      <c r="C170" t="s">
        <v>56</v>
      </c>
      <c r="D170" t="s">
        <v>49</v>
      </c>
      <c r="E170" t="s">
        <v>15</v>
      </c>
      <c r="F170">
        <v>20</v>
      </c>
      <c r="G170">
        <v>32000</v>
      </c>
      <c r="H170">
        <v>21000</v>
      </c>
      <c r="I170" t="str">
        <f>PROPER(TRIM(ventas_raw_200[[#This Row],[Sucursal]]))</f>
        <v>Resistencia</v>
      </c>
      <c r="J170" t="str">
        <f>PROPER(TRIM(ventas_raw_200[[#This Row],[Vendedor]]))</f>
        <v>Carlos Ruiz</v>
      </c>
      <c r="K170" t="str">
        <f>PROPER(TRIM(ventas_raw_200[[#This Row],[Producto]]))</f>
        <v>Termo Acero Inoxidable 1.3L</v>
      </c>
      <c r="L170">
        <f>LEN(ventas_raw_200[[#This Row],[ID_Transaccion]])</f>
        <v>8</v>
      </c>
      <c r="M170" t="str">
        <f>TRIM(ventas_raw_200[[#This Row],[ID_Transaccion]])</f>
        <v>TRX-1169</v>
      </c>
      <c r="N170">
        <f>LEN(ventas_raw_200[[#This Row],[ID_Transaccion_Limpio]])</f>
        <v>8</v>
      </c>
      <c r="O170" s="2">
        <f>IFERROR(IF(ventas_raw_200[[#This Row],[Cantidad]]&lt;0,1,ventas_raw_200[[#This Row],[Cantidad]]),1)</f>
        <v>20</v>
      </c>
      <c r="P170" t="str">
        <f>IFERROR(_xlfn.XLOOKUP(K170,maestro_productos_15!$B$2:$B$16,maestro_productos_15!$C$2:$C$16),"No encontrada")</f>
        <v>Bazar</v>
      </c>
      <c r="Q170" t="str">
        <f>IFERROR(_xlfn.XLOOKUP(K170,maestro_productos_15!$B$2:$B$16,maestro_productos_15!$D$2:$D$16),"No encontrada")</f>
        <v>Distribuidora del Nordeste</v>
      </c>
      <c r="R170">
        <f>ventas_raw_200[[#This Row],[Precio_Unitario]]*ventas_raw_200[[#This Row],[Cantidad_Auditada]]</f>
        <v>640000</v>
      </c>
      <c r="S170">
        <f>ventas_raw_200[[#This Row],[Costo_Unitario]]*ventas_raw_200[[#This Row],[Cantidad_Auditada]]</f>
        <v>420000</v>
      </c>
      <c r="T170">
        <f>ventas_raw_200[[#This Row],[Total_Venta]]-ventas_raw_200[[#This Row],[Total_Costo]]</f>
        <v>220000</v>
      </c>
      <c r="U170" s="3" cm="1">
        <f t="array" ref="U170">_xlfn.IFS(AND(G170&gt;25000,I170="Corrientes"),O170*G170*0.06,G170&gt;25000,O170*G170*0.04,TRUE,O170*G170*0.02)</f>
        <v>25600</v>
      </c>
    </row>
    <row r="171" spans="1:21" x14ac:dyDescent="0.25">
      <c r="A171" t="s">
        <v>229</v>
      </c>
      <c r="B171" s="1">
        <v>46103</v>
      </c>
      <c r="C171" t="s">
        <v>56</v>
      </c>
      <c r="D171" t="s">
        <v>10</v>
      </c>
      <c r="E171" t="s">
        <v>74</v>
      </c>
      <c r="F171">
        <v>2</v>
      </c>
      <c r="G171">
        <v>28000</v>
      </c>
      <c r="H171">
        <v>18000</v>
      </c>
      <c r="I171" t="str">
        <f>PROPER(TRIM(ventas_raw_200[[#This Row],[Sucursal]]))</f>
        <v>Resistencia</v>
      </c>
      <c r="J171" t="str">
        <f>PROPER(TRIM(ventas_raw_200[[#This Row],[Vendedor]]))</f>
        <v>Ana Martinez</v>
      </c>
      <c r="K171" t="str">
        <f>PROPER(TRIM(ventas_raw_200[[#This Row],[Producto]]))</f>
        <v>Auriculares Bluetooth Pro</v>
      </c>
      <c r="L171">
        <f>LEN(ventas_raw_200[[#This Row],[ID_Transaccion]])</f>
        <v>8</v>
      </c>
      <c r="M171" t="str">
        <f>TRIM(ventas_raw_200[[#This Row],[ID_Transaccion]])</f>
        <v>TRX-1170</v>
      </c>
      <c r="N171">
        <f>LEN(ventas_raw_200[[#This Row],[ID_Transaccion_Limpio]])</f>
        <v>8</v>
      </c>
      <c r="O171" s="2">
        <f>IFERROR(IF(ventas_raw_200[[#This Row],[Cantidad]]&lt;0,1,ventas_raw_200[[#This Row],[Cantidad]]),1)</f>
        <v>2</v>
      </c>
      <c r="P171" t="str">
        <f>IFERROR(_xlfn.XLOOKUP(K171,maestro_productos_15!$B$2:$B$16,maestro_productos_15!$C$2:$C$16),"No encontrada")</f>
        <v>Tecnología</v>
      </c>
      <c r="Q171" t="str">
        <f>IFERROR(_xlfn.XLOOKUP(K171,maestro_productos_15!$B$2:$B$16,maestro_productos_15!$D$2:$D$16),"No encontrada")</f>
        <v>TechImport S.R.L.</v>
      </c>
      <c r="R171">
        <f>ventas_raw_200[[#This Row],[Precio_Unitario]]*ventas_raw_200[[#This Row],[Cantidad_Auditada]]</f>
        <v>56000</v>
      </c>
      <c r="S171">
        <f>ventas_raw_200[[#This Row],[Costo_Unitario]]*ventas_raw_200[[#This Row],[Cantidad_Auditada]]</f>
        <v>36000</v>
      </c>
      <c r="T171">
        <f>ventas_raw_200[[#This Row],[Total_Venta]]-ventas_raw_200[[#This Row],[Total_Costo]]</f>
        <v>20000</v>
      </c>
      <c r="U171" s="3" cm="1">
        <f t="array" ref="U171">_xlfn.IFS(AND(G171&gt;25000,I171="Corrientes"),O171*G171*0.06,G171&gt;25000,O171*G171*0.04,TRUE,O171*G171*0.02)</f>
        <v>2240</v>
      </c>
    </row>
    <row r="172" spans="1:21" x14ac:dyDescent="0.25">
      <c r="A172" t="s">
        <v>230</v>
      </c>
      <c r="B172" s="1">
        <v>46073</v>
      </c>
      <c r="C172" t="s">
        <v>56</v>
      </c>
      <c r="D172" t="s">
        <v>10</v>
      </c>
      <c r="E172" t="s">
        <v>72</v>
      </c>
      <c r="F172">
        <v>3</v>
      </c>
      <c r="G172">
        <v>45000</v>
      </c>
      <c r="H172">
        <v>30000</v>
      </c>
      <c r="I172" t="str">
        <f>PROPER(TRIM(ventas_raw_200[[#This Row],[Sucursal]]))</f>
        <v>Resistencia</v>
      </c>
      <c r="J172" t="str">
        <f>PROPER(TRIM(ventas_raw_200[[#This Row],[Vendedor]]))</f>
        <v>Ana Martinez</v>
      </c>
      <c r="K172" t="str">
        <f>PROPER(TRIM(ventas_raw_200[[#This Row],[Producto]]))</f>
        <v>Teclado Mecánico Rgb</v>
      </c>
      <c r="L172">
        <f>LEN(ventas_raw_200[[#This Row],[ID_Transaccion]])</f>
        <v>8</v>
      </c>
      <c r="M172" t="str">
        <f>TRIM(ventas_raw_200[[#This Row],[ID_Transaccion]])</f>
        <v>TRX-1171</v>
      </c>
      <c r="N172">
        <f>LEN(ventas_raw_200[[#This Row],[ID_Transaccion_Limpio]])</f>
        <v>8</v>
      </c>
      <c r="O172" s="2">
        <f>IFERROR(IF(ventas_raw_200[[#This Row],[Cantidad]]&lt;0,1,ventas_raw_200[[#This Row],[Cantidad]]),1)</f>
        <v>3</v>
      </c>
      <c r="P172" t="str">
        <f>IFERROR(_xlfn.XLOOKUP(K172,maestro_productos_15!$B$2:$B$16,maestro_productos_15!$C$2:$C$16),"No encontrada")</f>
        <v>Tecnología</v>
      </c>
      <c r="Q172" t="str">
        <f>IFERROR(_xlfn.XLOOKUP(K172,maestro_productos_15!$B$2:$B$16,maestro_productos_15!$D$2:$D$16),"No encontrada")</f>
        <v>TechImport S.R.L.</v>
      </c>
      <c r="R172">
        <f>ventas_raw_200[[#This Row],[Precio_Unitario]]*ventas_raw_200[[#This Row],[Cantidad_Auditada]]</f>
        <v>135000</v>
      </c>
      <c r="S172">
        <f>ventas_raw_200[[#This Row],[Costo_Unitario]]*ventas_raw_200[[#This Row],[Cantidad_Auditada]]</f>
        <v>90000</v>
      </c>
      <c r="T172">
        <f>ventas_raw_200[[#This Row],[Total_Venta]]-ventas_raw_200[[#This Row],[Total_Costo]]</f>
        <v>45000</v>
      </c>
      <c r="U172" s="3" cm="1">
        <f t="array" ref="U172">_xlfn.IFS(AND(G172&gt;25000,I172="Corrientes"),O172*G172*0.06,G172&gt;25000,O172*G172*0.04,TRUE,O172*G172*0.02)</f>
        <v>5400</v>
      </c>
    </row>
    <row r="173" spans="1:21" x14ac:dyDescent="0.25">
      <c r="A173" t="s">
        <v>231</v>
      </c>
      <c r="B173" s="1">
        <v>46065</v>
      </c>
      <c r="C173" t="s">
        <v>19</v>
      </c>
      <c r="D173" t="s">
        <v>49</v>
      </c>
      <c r="E173" t="s">
        <v>21</v>
      </c>
      <c r="F173">
        <v>18</v>
      </c>
      <c r="G173">
        <v>3800</v>
      </c>
      <c r="H173">
        <v>2500</v>
      </c>
      <c r="I173" t="str">
        <f>PROPER(TRIM(ventas_raw_200[[#This Row],[Sucursal]]))</f>
        <v>Resistencia</v>
      </c>
      <c r="J173" t="str">
        <f>PROPER(TRIM(ventas_raw_200[[#This Row],[Vendedor]]))</f>
        <v>Carlos Ruiz</v>
      </c>
      <c r="K173" t="str">
        <f>PROPER(TRIM(ventas_raw_200[[#This Row],[Producto]]))</f>
        <v>Yerba Mate Premium 1Kg</v>
      </c>
      <c r="L173">
        <f>LEN(ventas_raw_200[[#This Row],[ID_Transaccion]])</f>
        <v>10</v>
      </c>
      <c r="M173" t="str">
        <f>TRIM(ventas_raw_200[[#This Row],[ID_Transaccion]])</f>
        <v>TRX-1172</v>
      </c>
      <c r="N173">
        <f>LEN(ventas_raw_200[[#This Row],[ID_Transaccion_Limpio]])</f>
        <v>8</v>
      </c>
      <c r="O173" s="2">
        <f>IFERROR(IF(ventas_raw_200[[#This Row],[Cantidad]]&lt;0,1,ventas_raw_200[[#This Row],[Cantidad]]),1)</f>
        <v>18</v>
      </c>
      <c r="P173" t="str">
        <f>IFERROR(_xlfn.XLOOKUP(K173,maestro_productos_15!$B$2:$B$16,maestro_productos_15!$C$2:$C$16),"No encontrada")</f>
        <v>Alimentos</v>
      </c>
      <c r="Q173" t="str">
        <f>IFERROR(_xlfn.XLOOKUP(K173,maestro_productos_15!$B$2:$B$16,maestro_productos_15!$D$2:$D$16),"No encontrada")</f>
        <v>Cooperativa Neike</v>
      </c>
      <c r="R173">
        <f>ventas_raw_200[[#This Row],[Precio_Unitario]]*ventas_raw_200[[#This Row],[Cantidad_Auditada]]</f>
        <v>68400</v>
      </c>
      <c r="S173">
        <f>ventas_raw_200[[#This Row],[Costo_Unitario]]*ventas_raw_200[[#This Row],[Cantidad_Auditada]]</f>
        <v>45000</v>
      </c>
      <c r="T173">
        <f>ventas_raw_200[[#This Row],[Total_Venta]]-ventas_raw_200[[#This Row],[Total_Costo]]</f>
        <v>23400</v>
      </c>
      <c r="U173" s="3" cm="1">
        <f t="array" ref="U173">_xlfn.IFS(AND(G173&gt;25000,I173="Corrientes"),O173*G173*0.06,G173&gt;25000,O173*G173*0.04,TRUE,O173*G173*0.02)</f>
        <v>1368</v>
      </c>
    </row>
    <row r="174" spans="1:21" x14ac:dyDescent="0.25">
      <c r="A174" t="s">
        <v>232</v>
      </c>
      <c r="B174" s="1">
        <v>46050</v>
      </c>
      <c r="C174" t="s">
        <v>56</v>
      </c>
      <c r="D174" t="s">
        <v>49</v>
      </c>
      <c r="E174" t="s">
        <v>140</v>
      </c>
      <c r="F174">
        <v>4</v>
      </c>
      <c r="G174">
        <v>32000</v>
      </c>
      <c r="H174">
        <v>21000</v>
      </c>
      <c r="I174" t="str">
        <f>PROPER(TRIM(ventas_raw_200[[#This Row],[Sucursal]]))</f>
        <v>Resistencia</v>
      </c>
      <c r="J174" t="str">
        <f>PROPER(TRIM(ventas_raw_200[[#This Row],[Vendedor]]))</f>
        <v>Carlos Ruiz</v>
      </c>
      <c r="K174" t="str">
        <f>PROPER(TRIM(ventas_raw_200[[#This Row],[Producto]]))</f>
        <v>Termo Acero Inoxidable 1.3L</v>
      </c>
      <c r="L174">
        <f>LEN(ventas_raw_200[[#This Row],[ID_Transaccion]])</f>
        <v>8</v>
      </c>
      <c r="M174" t="str">
        <f>TRIM(ventas_raw_200[[#This Row],[ID_Transaccion]])</f>
        <v>TRX-1173</v>
      </c>
      <c r="N174">
        <f>LEN(ventas_raw_200[[#This Row],[ID_Transaccion_Limpio]])</f>
        <v>8</v>
      </c>
      <c r="O174" s="2">
        <f>IFERROR(IF(ventas_raw_200[[#This Row],[Cantidad]]&lt;0,1,ventas_raw_200[[#This Row],[Cantidad]]),1)</f>
        <v>4</v>
      </c>
      <c r="P174" t="str">
        <f>IFERROR(_xlfn.XLOOKUP(K174,maestro_productos_15!$B$2:$B$16,maestro_productos_15!$C$2:$C$16),"No encontrada")</f>
        <v>Bazar</v>
      </c>
      <c r="Q174" t="str">
        <f>IFERROR(_xlfn.XLOOKUP(K174,maestro_productos_15!$B$2:$B$16,maestro_productos_15!$D$2:$D$16),"No encontrada")</f>
        <v>Distribuidora del Nordeste</v>
      </c>
      <c r="R174">
        <f>ventas_raw_200[[#This Row],[Precio_Unitario]]*ventas_raw_200[[#This Row],[Cantidad_Auditada]]</f>
        <v>128000</v>
      </c>
      <c r="S174">
        <f>ventas_raw_200[[#This Row],[Costo_Unitario]]*ventas_raw_200[[#This Row],[Cantidad_Auditada]]</f>
        <v>84000</v>
      </c>
      <c r="T174">
        <f>ventas_raw_200[[#This Row],[Total_Venta]]-ventas_raw_200[[#This Row],[Total_Costo]]</f>
        <v>44000</v>
      </c>
      <c r="U174" s="3" cm="1">
        <f t="array" ref="U174">_xlfn.IFS(AND(G174&gt;25000,I174="Corrientes"),O174*G174*0.06,G174&gt;25000,O174*G174*0.04,TRUE,O174*G174*0.02)</f>
        <v>5120</v>
      </c>
    </row>
    <row r="175" spans="1:21" x14ac:dyDescent="0.25">
      <c r="A175" t="s">
        <v>233</v>
      </c>
      <c r="B175" s="1">
        <v>46030</v>
      </c>
      <c r="C175" t="s">
        <v>25</v>
      </c>
      <c r="D175" t="s">
        <v>49</v>
      </c>
      <c r="E175" t="s">
        <v>21</v>
      </c>
      <c r="F175">
        <v>7</v>
      </c>
      <c r="G175">
        <v>3800</v>
      </c>
      <c r="H175">
        <v>2500</v>
      </c>
      <c r="I175" t="str">
        <f>PROPER(TRIM(ventas_raw_200[[#This Row],[Sucursal]]))</f>
        <v>Formosa</v>
      </c>
      <c r="J175" t="str">
        <f>PROPER(TRIM(ventas_raw_200[[#This Row],[Vendedor]]))</f>
        <v>Carlos Ruiz</v>
      </c>
      <c r="K175" t="str">
        <f>PROPER(TRIM(ventas_raw_200[[#This Row],[Producto]]))</f>
        <v>Yerba Mate Premium 1Kg</v>
      </c>
      <c r="L175">
        <f>LEN(ventas_raw_200[[#This Row],[ID_Transaccion]])</f>
        <v>8</v>
      </c>
      <c r="M175" t="str">
        <f>TRIM(ventas_raw_200[[#This Row],[ID_Transaccion]])</f>
        <v>TRX-1174</v>
      </c>
      <c r="N175">
        <f>LEN(ventas_raw_200[[#This Row],[ID_Transaccion_Limpio]])</f>
        <v>8</v>
      </c>
      <c r="O175" s="2">
        <f>IFERROR(IF(ventas_raw_200[[#This Row],[Cantidad]]&lt;0,1,ventas_raw_200[[#This Row],[Cantidad]]),1)</f>
        <v>7</v>
      </c>
      <c r="P175" t="str">
        <f>IFERROR(_xlfn.XLOOKUP(K175,maestro_productos_15!$B$2:$B$16,maestro_productos_15!$C$2:$C$16),"No encontrada")</f>
        <v>Alimentos</v>
      </c>
      <c r="Q175" t="str">
        <f>IFERROR(_xlfn.XLOOKUP(K175,maestro_productos_15!$B$2:$B$16,maestro_productos_15!$D$2:$D$16),"No encontrada")</f>
        <v>Cooperativa Neike</v>
      </c>
      <c r="R175">
        <f>ventas_raw_200[[#This Row],[Precio_Unitario]]*ventas_raw_200[[#This Row],[Cantidad_Auditada]]</f>
        <v>26600</v>
      </c>
      <c r="S175">
        <f>ventas_raw_200[[#This Row],[Costo_Unitario]]*ventas_raw_200[[#This Row],[Cantidad_Auditada]]</f>
        <v>17500</v>
      </c>
      <c r="T175">
        <f>ventas_raw_200[[#This Row],[Total_Venta]]-ventas_raw_200[[#This Row],[Total_Costo]]</f>
        <v>9100</v>
      </c>
      <c r="U175" s="3" cm="1">
        <f t="array" ref="U175">_xlfn.IFS(AND(G175&gt;25000,I175="Corrientes"),O175*G175*0.06,G175&gt;25000,O175*G175*0.04,TRUE,O175*G175*0.02)</f>
        <v>532</v>
      </c>
    </row>
    <row r="176" spans="1:21" x14ac:dyDescent="0.25">
      <c r="A176" t="s">
        <v>234</v>
      </c>
      <c r="B176" s="1">
        <v>46072</v>
      </c>
      <c r="C176" t="s">
        <v>56</v>
      </c>
      <c r="D176" t="s">
        <v>69</v>
      </c>
      <c r="E176" t="s">
        <v>43</v>
      </c>
      <c r="F176">
        <v>4</v>
      </c>
      <c r="G176">
        <v>6200</v>
      </c>
      <c r="H176">
        <v>3800</v>
      </c>
      <c r="I176" t="str">
        <f>PROPER(TRIM(ventas_raw_200[[#This Row],[Sucursal]]))</f>
        <v>Resistencia</v>
      </c>
      <c r="J176" t="str">
        <f>PROPER(TRIM(ventas_raw_200[[#This Row],[Vendedor]]))</f>
        <v>Carlos Ruiz</v>
      </c>
      <c r="K176" t="str">
        <f>PROPER(TRIM(ventas_raw_200[[#This Row],[Producto]]))</f>
        <v>Shampoo Canino Neutro 500Ml</v>
      </c>
      <c r="L176">
        <f>LEN(ventas_raw_200[[#This Row],[ID_Transaccion]])</f>
        <v>8</v>
      </c>
      <c r="M176" t="str">
        <f>TRIM(ventas_raw_200[[#This Row],[ID_Transaccion]])</f>
        <v>TRX-1175</v>
      </c>
      <c r="N176">
        <f>LEN(ventas_raw_200[[#This Row],[ID_Transaccion_Limpio]])</f>
        <v>8</v>
      </c>
      <c r="O176" s="2">
        <f>IFERROR(IF(ventas_raw_200[[#This Row],[Cantidad]]&lt;0,1,ventas_raw_200[[#This Row],[Cantidad]]),1)</f>
        <v>4</v>
      </c>
      <c r="P176" t="str">
        <f>IFERROR(_xlfn.XLOOKUP(K176,maestro_productos_15!$B$2:$B$16,maestro_productos_15!$C$2:$C$16),"No encontrada")</f>
        <v>Mascotas</v>
      </c>
      <c r="Q176" t="str">
        <f>IFERROR(_xlfn.XLOOKUP(K176,maestro_productos_15!$B$2:$B$16,maestro_productos_15!$D$2:$D$16),"No encontrada")</f>
        <v>PetStyle Litoral</v>
      </c>
      <c r="R176">
        <f>ventas_raw_200[[#This Row],[Precio_Unitario]]*ventas_raw_200[[#This Row],[Cantidad_Auditada]]</f>
        <v>24800</v>
      </c>
      <c r="S176">
        <f>ventas_raw_200[[#This Row],[Costo_Unitario]]*ventas_raw_200[[#This Row],[Cantidad_Auditada]]</f>
        <v>15200</v>
      </c>
      <c r="T176">
        <f>ventas_raw_200[[#This Row],[Total_Venta]]-ventas_raw_200[[#This Row],[Total_Costo]]</f>
        <v>9600</v>
      </c>
      <c r="U176" s="3" cm="1">
        <f t="array" ref="U176">_xlfn.IFS(AND(G176&gt;25000,I176="Corrientes"),O176*G176*0.06,G176&gt;25000,O176*G176*0.04,TRUE,O176*G176*0.02)</f>
        <v>496</v>
      </c>
    </row>
    <row r="177" spans="1:21" x14ac:dyDescent="0.25">
      <c r="A177" t="s">
        <v>235</v>
      </c>
      <c r="B177" s="1">
        <v>46043</v>
      </c>
      <c r="C177" t="s">
        <v>23</v>
      </c>
      <c r="D177" t="s">
        <v>10</v>
      </c>
      <c r="E177" t="s">
        <v>11</v>
      </c>
      <c r="F177">
        <v>3</v>
      </c>
      <c r="G177">
        <v>8500</v>
      </c>
      <c r="H177">
        <v>4800</v>
      </c>
      <c r="I177" t="str">
        <f>PROPER(TRIM(ventas_raw_200[[#This Row],[Sucursal]]))</f>
        <v>Corrientes</v>
      </c>
      <c r="J177" t="str">
        <f>PROPER(TRIM(ventas_raw_200[[#This Row],[Vendedor]]))</f>
        <v>Ana Martinez</v>
      </c>
      <c r="K177" t="str">
        <f>PROPER(TRIM(ventas_raw_200[[#This Row],[Producto]]))</f>
        <v>Mates De Madera Calada</v>
      </c>
      <c r="L177">
        <f>LEN(ventas_raw_200[[#This Row],[ID_Transaccion]])</f>
        <v>8</v>
      </c>
      <c r="M177" t="str">
        <f>TRIM(ventas_raw_200[[#This Row],[ID_Transaccion]])</f>
        <v>TRX-1176</v>
      </c>
      <c r="N177">
        <f>LEN(ventas_raw_200[[#This Row],[ID_Transaccion_Limpio]])</f>
        <v>8</v>
      </c>
      <c r="O177" s="2">
        <f>IFERROR(IF(ventas_raw_200[[#This Row],[Cantidad]]&lt;0,1,ventas_raw_200[[#This Row],[Cantidad]]),1)</f>
        <v>3</v>
      </c>
      <c r="P177" t="str">
        <f>IFERROR(_xlfn.XLOOKUP(K177,maestro_productos_15!$B$2:$B$16,maestro_productos_15!$C$2:$C$16),"No encontrada")</f>
        <v>Bazar</v>
      </c>
      <c r="Q177" t="str">
        <f>IFERROR(_xlfn.XLOOKUP(K177,maestro_productos_15!$B$2:$B$16,maestro_productos_15!$D$2:$D$16),"No encontrada")</f>
        <v>Artesanías Guaraníes</v>
      </c>
      <c r="R177">
        <f>ventas_raw_200[[#This Row],[Precio_Unitario]]*ventas_raw_200[[#This Row],[Cantidad_Auditada]]</f>
        <v>25500</v>
      </c>
      <c r="S177">
        <f>ventas_raw_200[[#This Row],[Costo_Unitario]]*ventas_raw_200[[#This Row],[Cantidad_Auditada]]</f>
        <v>14400</v>
      </c>
      <c r="T177">
        <f>ventas_raw_200[[#This Row],[Total_Venta]]-ventas_raw_200[[#This Row],[Total_Costo]]</f>
        <v>11100</v>
      </c>
      <c r="U177" s="3" cm="1">
        <f t="array" ref="U177">_xlfn.IFS(AND(G177&gt;25000,I177="Corrientes"),O177*G177*0.06,G177&gt;25000,O177*G177*0.04,TRUE,O177*G177*0.02)</f>
        <v>510</v>
      </c>
    </row>
    <row r="178" spans="1:21" x14ac:dyDescent="0.25">
      <c r="A178" t="s">
        <v>236</v>
      </c>
      <c r="B178" s="1">
        <v>46112</v>
      </c>
      <c r="C178" t="s">
        <v>9</v>
      </c>
      <c r="D178" t="s">
        <v>10</v>
      </c>
      <c r="E178" t="s">
        <v>21</v>
      </c>
      <c r="F178">
        <v>5</v>
      </c>
      <c r="G178">
        <v>3800</v>
      </c>
      <c r="H178">
        <v>2500</v>
      </c>
      <c r="I178" t="str">
        <f>PROPER(TRIM(ventas_raw_200[[#This Row],[Sucursal]]))</f>
        <v>Corrientes</v>
      </c>
      <c r="J178" t="str">
        <f>PROPER(TRIM(ventas_raw_200[[#This Row],[Vendedor]]))</f>
        <v>Ana Martinez</v>
      </c>
      <c r="K178" t="str">
        <f>PROPER(TRIM(ventas_raw_200[[#This Row],[Producto]]))</f>
        <v>Yerba Mate Premium 1Kg</v>
      </c>
      <c r="L178">
        <f>LEN(ventas_raw_200[[#This Row],[ID_Transaccion]])</f>
        <v>10</v>
      </c>
      <c r="M178" t="str">
        <f>TRIM(ventas_raw_200[[#This Row],[ID_Transaccion]])</f>
        <v>TRX-1177</v>
      </c>
      <c r="N178">
        <f>LEN(ventas_raw_200[[#This Row],[ID_Transaccion_Limpio]])</f>
        <v>8</v>
      </c>
      <c r="O178" s="2">
        <f>IFERROR(IF(ventas_raw_200[[#This Row],[Cantidad]]&lt;0,1,ventas_raw_200[[#This Row],[Cantidad]]),1)</f>
        <v>5</v>
      </c>
      <c r="P178" t="str">
        <f>IFERROR(_xlfn.XLOOKUP(K178,maestro_productos_15!$B$2:$B$16,maestro_productos_15!$C$2:$C$16),"No encontrada")</f>
        <v>Alimentos</v>
      </c>
      <c r="Q178" t="str">
        <f>IFERROR(_xlfn.XLOOKUP(K178,maestro_productos_15!$B$2:$B$16,maestro_productos_15!$D$2:$D$16),"No encontrada")</f>
        <v>Cooperativa Neike</v>
      </c>
      <c r="R178">
        <f>ventas_raw_200[[#This Row],[Precio_Unitario]]*ventas_raw_200[[#This Row],[Cantidad_Auditada]]</f>
        <v>19000</v>
      </c>
      <c r="S178">
        <f>ventas_raw_200[[#This Row],[Costo_Unitario]]*ventas_raw_200[[#This Row],[Cantidad_Auditada]]</f>
        <v>12500</v>
      </c>
      <c r="T178">
        <f>ventas_raw_200[[#This Row],[Total_Venta]]-ventas_raw_200[[#This Row],[Total_Costo]]</f>
        <v>6500</v>
      </c>
      <c r="U178" s="3" cm="1">
        <f t="array" ref="U178">_xlfn.IFS(AND(G178&gt;25000,I178="Corrientes"),O178*G178*0.06,G178&gt;25000,O178*G178*0.04,TRUE,O178*G178*0.02)</f>
        <v>380</v>
      </c>
    </row>
    <row r="179" spans="1:21" x14ac:dyDescent="0.25">
      <c r="A179" t="s">
        <v>237</v>
      </c>
      <c r="B179" s="1">
        <v>46031</v>
      </c>
      <c r="C179" t="s">
        <v>38</v>
      </c>
      <c r="D179" t="s">
        <v>14</v>
      </c>
      <c r="E179" t="s">
        <v>62</v>
      </c>
      <c r="F179">
        <v>22</v>
      </c>
      <c r="G179">
        <v>19500</v>
      </c>
      <c r="H179">
        <v>12000</v>
      </c>
      <c r="I179" t="str">
        <f>PROPER(TRIM(ventas_raw_200[[#This Row],[Sucursal]]))</f>
        <v>Posadas</v>
      </c>
      <c r="J179" t="str">
        <f>PROPER(TRIM(ventas_raw_200[[#This Row],[Vendedor]]))</f>
        <v>Juan Perez</v>
      </c>
      <c r="K179" t="str">
        <f>PROPER(TRIM(ventas_raw_200[[#This Row],[Producto]]))</f>
        <v>Soporte Regulable Notebook</v>
      </c>
      <c r="L179">
        <f>LEN(ventas_raw_200[[#This Row],[ID_Transaccion]])</f>
        <v>8</v>
      </c>
      <c r="M179" t="str">
        <f>TRIM(ventas_raw_200[[#This Row],[ID_Transaccion]])</f>
        <v>TRX-1178</v>
      </c>
      <c r="N179">
        <f>LEN(ventas_raw_200[[#This Row],[ID_Transaccion_Limpio]])</f>
        <v>8</v>
      </c>
      <c r="O179" s="2">
        <f>IFERROR(IF(ventas_raw_200[[#This Row],[Cantidad]]&lt;0,1,ventas_raw_200[[#This Row],[Cantidad]]),1)</f>
        <v>22</v>
      </c>
      <c r="P179" t="str">
        <f>IFERROR(_xlfn.XLOOKUP(K179,maestro_productos_15!$B$2:$B$16,maestro_productos_15!$C$2:$C$16),"No encontrada")</f>
        <v>Tecnología</v>
      </c>
      <c r="Q179" t="str">
        <f>IFERROR(_xlfn.XLOOKUP(K179,maestro_productos_15!$B$2:$B$16,maestro_productos_15!$D$2:$D$16),"No encontrada")</f>
        <v>TechImport S.R.L.</v>
      </c>
      <c r="R179">
        <f>ventas_raw_200[[#This Row],[Precio_Unitario]]*ventas_raw_200[[#This Row],[Cantidad_Auditada]]</f>
        <v>429000</v>
      </c>
      <c r="S179">
        <f>ventas_raw_200[[#This Row],[Costo_Unitario]]*ventas_raw_200[[#This Row],[Cantidad_Auditada]]</f>
        <v>264000</v>
      </c>
      <c r="T179">
        <f>ventas_raw_200[[#This Row],[Total_Venta]]-ventas_raw_200[[#This Row],[Total_Costo]]</f>
        <v>165000</v>
      </c>
      <c r="U179" s="3" cm="1">
        <f t="array" ref="U179">_xlfn.IFS(AND(G179&gt;25000,I179="Corrientes"),O179*G179*0.06,G179&gt;25000,O179*G179*0.04,TRUE,O179*G179*0.02)</f>
        <v>8580</v>
      </c>
    </row>
    <row r="180" spans="1:21" x14ac:dyDescent="0.25">
      <c r="A180" t="s">
        <v>238</v>
      </c>
      <c r="B180" s="1">
        <v>46050</v>
      </c>
      <c r="C180" t="s">
        <v>19</v>
      </c>
      <c r="D180" t="s">
        <v>49</v>
      </c>
      <c r="E180" t="s">
        <v>34</v>
      </c>
      <c r="F180">
        <v>4</v>
      </c>
      <c r="G180">
        <v>22000</v>
      </c>
      <c r="H180">
        <v>14000</v>
      </c>
      <c r="I180" t="str">
        <f>PROPER(TRIM(ventas_raw_200[[#This Row],[Sucursal]]))</f>
        <v>Resistencia</v>
      </c>
      <c r="J180" t="str">
        <f>PROPER(TRIM(ventas_raw_200[[#This Row],[Vendedor]]))</f>
        <v>Carlos Ruiz</v>
      </c>
      <c r="K180" t="str">
        <f>PROPER(TRIM(ventas_raw_200[[#This Row],[Producto]]))</f>
        <v>Cargador Rápido Usb-C 65W</v>
      </c>
      <c r="L180">
        <f>LEN(ventas_raw_200[[#This Row],[ID_Transaccion]])</f>
        <v>10</v>
      </c>
      <c r="M180" t="str">
        <f>TRIM(ventas_raw_200[[#This Row],[ID_Transaccion]])</f>
        <v>TRX-1179</v>
      </c>
      <c r="N180">
        <f>LEN(ventas_raw_200[[#This Row],[ID_Transaccion_Limpio]])</f>
        <v>8</v>
      </c>
      <c r="O180" s="2">
        <f>IFERROR(IF(ventas_raw_200[[#This Row],[Cantidad]]&lt;0,1,ventas_raw_200[[#This Row],[Cantidad]]),1)</f>
        <v>4</v>
      </c>
      <c r="P180" t="str">
        <f>IFERROR(_xlfn.XLOOKUP(K180,maestro_productos_15!$B$2:$B$16,maestro_productos_15!$C$2:$C$16),"No encontrada")</f>
        <v>Tecnología</v>
      </c>
      <c r="Q180" t="str">
        <f>IFERROR(_xlfn.XLOOKUP(K180,maestro_productos_15!$B$2:$B$16,maestro_productos_15!$D$2:$D$16),"No encontrada")</f>
        <v>TechImport S.R.L.</v>
      </c>
      <c r="R180">
        <f>ventas_raw_200[[#This Row],[Precio_Unitario]]*ventas_raw_200[[#This Row],[Cantidad_Auditada]]</f>
        <v>88000</v>
      </c>
      <c r="S180">
        <f>ventas_raw_200[[#This Row],[Costo_Unitario]]*ventas_raw_200[[#This Row],[Cantidad_Auditada]]</f>
        <v>56000</v>
      </c>
      <c r="T180">
        <f>ventas_raw_200[[#This Row],[Total_Venta]]-ventas_raw_200[[#This Row],[Total_Costo]]</f>
        <v>32000</v>
      </c>
      <c r="U180" s="3" cm="1">
        <f t="array" ref="U180">_xlfn.IFS(AND(G180&gt;25000,I180="Corrientes"),O180*G180*0.06,G180&gt;25000,O180*G180*0.04,TRUE,O180*G180*0.02)</f>
        <v>1760</v>
      </c>
    </row>
    <row r="181" spans="1:21" x14ac:dyDescent="0.25">
      <c r="A181" t="s">
        <v>239</v>
      </c>
      <c r="B181" s="1">
        <v>46073</v>
      </c>
      <c r="C181" t="s">
        <v>25</v>
      </c>
      <c r="D181" t="s">
        <v>14</v>
      </c>
      <c r="E181" t="s">
        <v>21</v>
      </c>
      <c r="F181">
        <v>18</v>
      </c>
      <c r="G181">
        <v>3800</v>
      </c>
      <c r="H181">
        <v>2500</v>
      </c>
      <c r="I181" t="str">
        <f>PROPER(TRIM(ventas_raw_200[[#This Row],[Sucursal]]))</f>
        <v>Formosa</v>
      </c>
      <c r="J181" t="str">
        <f>PROPER(TRIM(ventas_raw_200[[#This Row],[Vendedor]]))</f>
        <v>Juan Perez</v>
      </c>
      <c r="K181" t="str">
        <f>PROPER(TRIM(ventas_raw_200[[#This Row],[Producto]]))</f>
        <v>Yerba Mate Premium 1Kg</v>
      </c>
      <c r="L181">
        <f>LEN(ventas_raw_200[[#This Row],[ID_Transaccion]])</f>
        <v>8</v>
      </c>
      <c r="M181" t="str">
        <f>TRIM(ventas_raw_200[[#This Row],[ID_Transaccion]])</f>
        <v>TRX-1180</v>
      </c>
      <c r="N181">
        <f>LEN(ventas_raw_200[[#This Row],[ID_Transaccion_Limpio]])</f>
        <v>8</v>
      </c>
      <c r="O181" s="2">
        <f>IFERROR(IF(ventas_raw_200[[#This Row],[Cantidad]]&lt;0,1,ventas_raw_200[[#This Row],[Cantidad]]),1)</f>
        <v>18</v>
      </c>
      <c r="P181" t="str">
        <f>IFERROR(_xlfn.XLOOKUP(K181,maestro_productos_15!$B$2:$B$16,maestro_productos_15!$C$2:$C$16),"No encontrada")</f>
        <v>Alimentos</v>
      </c>
      <c r="Q181" t="str">
        <f>IFERROR(_xlfn.XLOOKUP(K181,maestro_productos_15!$B$2:$B$16,maestro_productos_15!$D$2:$D$16),"No encontrada")</f>
        <v>Cooperativa Neike</v>
      </c>
      <c r="R181">
        <f>ventas_raw_200[[#This Row],[Precio_Unitario]]*ventas_raw_200[[#This Row],[Cantidad_Auditada]]</f>
        <v>68400</v>
      </c>
      <c r="S181">
        <f>ventas_raw_200[[#This Row],[Costo_Unitario]]*ventas_raw_200[[#This Row],[Cantidad_Auditada]]</f>
        <v>45000</v>
      </c>
      <c r="T181">
        <f>ventas_raw_200[[#This Row],[Total_Venta]]-ventas_raw_200[[#This Row],[Total_Costo]]</f>
        <v>23400</v>
      </c>
      <c r="U181" s="3" cm="1">
        <f t="array" ref="U181">_xlfn.IFS(AND(G181&gt;25000,I181="Corrientes"),O181*G181*0.06,G181&gt;25000,O181*G181*0.04,TRUE,O181*G181*0.02)</f>
        <v>1368</v>
      </c>
    </row>
    <row r="182" spans="1:21" x14ac:dyDescent="0.25">
      <c r="A182" t="s">
        <v>240</v>
      </c>
      <c r="B182" s="1">
        <v>46084</v>
      </c>
      <c r="C182" t="s">
        <v>56</v>
      </c>
      <c r="D182" t="s">
        <v>20</v>
      </c>
      <c r="E182" t="s">
        <v>64</v>
      </c>
      <c r="F182">
        <v>25</v>
      </c>
      <c r="G182">
        <v>18500</v>
      </c>
      <c r="H182">
        <v>12500</v>
      </c>
      <c r="I182" t="str">
        <f>PROPER(TRIM(ventas_raw_200[[#This Row],[Sucursal]]))</f>
        <v>Resistencia</v>
      </c>
      <c r="J182" t="str">
        <f>PROPER(TRIM(ventas_raw_200[[#This Row],[Vendedor]]))</f>
        <v>Ana Martinez</v>
      </c>
      <c r="K182" t="str">
        <f>PROPER(TRIM(ventas_raw_200[[#This Row],[Producto]]))</f>
        <v>Café En Grano Intenso 1Kg</v>
      </c>
      <c r="L182">
        <f>LEN(ventas_raw_200[[#This Row],[ID_Transaccion]])</f>
        <v>8</v>
      </c>
      <c r="M182" t="str">
        <f>TRIM(ventas_raw_200[[#This Row],[ID_Transaccion]])</f>
        <v>TRX-1181</v>
      </c>
      <c r="N182">
        <f>LEN(ventas_raw_200[[#This Row],[ID_Transaccion_Limpio]])</f>
        <v>8</v>
      </c>
      <c r="O182" s="2">
        <f>IFERROR(IF(ventas_raw_200[[#This Row],[Cantidad]]&lt;0,1,ventas_raw_200[[#This Row],[Cantidad]]),1)</f>
        <v>25</v>
      </c>
      <c r="P182" t="str">
        <f>IFERROR(_xlfn.XLOOKUP(K182,maestro_productos_15!$B$2:$B$16,maestro_productos_15!$C$2:$C$16),"No encontrada")</f>
        <v>Alimentos</v>
      </c>
      <c r="Q182" t="str">
        <f>IFERROR(_xlfn.XLOOKUP(K182,maestro_productos_15!$B$2:$B$16,maestro_productos_15!$D$2:$D$16),"No encontrada")</f>
        <v>Distribuidora del Nordeste</v>
      </c>
      <c r="R182">
        <f>ventas_raw_200[[#This Row],[Precio_Unitario]]*ventas_raw_200[[#This Row],[Cantidad_Auditada]]</f>
        <v>462500</v>
      </c>
      <c r="S182">
        <f>ventas_raw_200[[#This Row],[Costo_Unitario]]*ventas_raw_200[[#This Row],[Cantidad_Auditada]]</f>
        <v>312500</v>
      </c>
      <c r="T182">
        <f>ventas_raw_200[[#This Row],[Total_Venta]]-ventas_raw_200[[#This Row],[Total_Costo]]</f>
        <v>150000</v>
      </c>
      <c r="U182" s="3" cm="1">
        <f t="array" ref="U182">_xlfn.IFS(AND(G182&gt;25000,I182="Corrientes"),O182*G182*0.06,G182&gt;25000,O182*G182*0.04,TRUE,O182*G182*0.02)</f>
        <v>9250</v>
      </c>
    </row>
    <row r="183" spans="1:21" x14ac:dyDescent="0.25">
      <c r="A183" t="s">
        <v>241</v>
      </c>
      <c r="B183" s="1">
        <v>46076</v>
      </c>
      <c r="C183" t="s">
        <v>13</v>
      </c>
      <c r="D183" t="s">
        <v>10</v>
      </c>
      <c r="E183" t="s">
        <v>191</v>
      </c>
      <c r="F183">
        <v>9</v>
      </c>
      <c r="G183">
        <v>19500</v>
      </c>
      <c r="H183">
        <v>12000</v>
      </c>
      <c r="I183" t="str">
        <f>PROPER(TRIM(ventas_raw_200[[#This Row],[Sucursal]]))</f>
        <v>Posadas</v>
      </c>
      <c r="J183" t="str">
        <f>PROPER(TRIM(ventas_raw_200[[#This Row],[Vendedor]]))</f>
        <v>Ana Martinez</v>
      </c>
      <c r="K183" t="str">
        <f>PROPER(TRIM(ventas_raw_200[[#This Row],[Producto]]))</f>
        <v>Soporte Regulable Notebook</v>
      </c>
      <c r="L183">
        <f>LEN(ventas_raw_200[[#This Row],[ID_Transaccion]])</f>
        <v>8</v>
      </c>
      <c r="M183" t="str">
        <f>TRIM(ventas_raw_200[[#This Row],[ID_Transaccion]])</f>
        <v>TRX-1182</v>
      </c>
      <c r="N183">
        <f>LEN(ventas_raw_200[[#This Row],[ID_Transaccion_Limpio]])</f>
        <v>8</v>
      </c>
      <c r="O183" s="2">
        <f>IFERROR(IF(ventas_raw_200[[#This Row],[Cantidad]]&lt;0,1,ventas_raw_200[[#This Row],[Cantidad]]),1)</f>
        <v>9</v>
      </c>
      <c r="P183" t="str">
        <f>IFERROR(_xlfn.XLOOKUP(K183,maestro_productos_15!$B$2:$B$16,maestro_productos_15!$C$2:$C$16),"No encontrada")</f>
        <v>Tecnología</v>
      </c>
      <c r="Q183" t="str">
        <f>IFERROR(_xlfn.XLOOKUP(K183,maestro_productos_15!$B$2:$B$16,maestro_productos_15!$D$2:$D$16),"No encontrada")</f>
        <v>TechImport S.R.L.</v>
      </c>
      <c r="R183">
        <f>ventas_raw_200[[#This Row],[Precio_Unitario]]*ventas_raw_200[[#This Row],[Cantidad_Auditada]]</f>
        <v>175500</v>
      </c>
      <c r="S183">
        <f>ventas_raw_200[[#This Row],[Costo_Unitario]]*ventas_raw_200[[#This Row],[Cantidad_Auditada]]</f>
        <v>108000</v>
      </c>
      <c r="T183">
        <f>ventas_raw_200[[#This Row],[Total_Venta]]-ventas_raw_200[[#This Row],[Total_Costo]]</f>
        <v>67500</v>
      </c>
      <c r="U183" s="3" cm="1">
        <f t="array" ref="U183">_xlfn.IFS(AND(G183&gt;25000,I183="Corrientes"),O183*G183*0.06,G183&gt;25000,O183*G183*0.04,TRUE,O183*G183*0.02)</f>
        <v>3510</v>
      </c>
    </row>
    <row r="184" spans="1:21" x14ac:dyDescent="0.25">
      <c r="A184" t="s">
        <v>242</v>
      </c>
      <c r="B184" s="1">
        <v>46031</v>
      </c>
      <c r="C184" t="s">
        <v>19</v>
      </c>
      <c r="D184" t="s">
        <v>30</v>
      </c>
      <c r="E184" t="s">
        <v>36</v>
      </c>
      <c r="F184">
        <v>6</v>
      </c>
      <c r="G184">
        <v>3100</v>
      </c>
      <c r="H184">
        <v>1800</v>
      </c>
      <c r="I184" t="str">
        <f>PROPER(TRIM(ventas_raw_200[[#This Row],[Sucursal]]))</f>
        <v>Resistencia</v>
      </c>
      <c r="J184" t="str">
        <f>PROPER(TRIM(ventas_raw_200[[#This Row],[Vendedor]]))</f>
        <v>Maria Gomez</v>
      </c>
      <c r="K184" t="str">
        <f>PROPER(TRIM(ventas_raw_200[[#This Row],[Producto]]))</f>
        <v>Snack Premios Perro 250G</v>
      </c>
      <c r="L184">
        <f>LEN(ventas_raw_200[[#This Row],[ID_Transaccion]])</f>
        <v>8</v>
      </c>
      <c r="M184" t="str">
        <f>TRIM(ventas_raw_200[[#This Row],[ID_Transaccion]])</f>
        <v>TRX-1183</v>
      </c>
      <c r="N184">
        <f>LEN(ventas_raw_200[[#This Row],[ID_Transaccion_Limpio]])</f>
        <v>8</v>
      </c>
      <c r="O184" s="2">
        <f>IFERROR(IF(ventas_raw_200[[#This Row],[Cantidad]]&lt;0,1,ventas_raw_200[[#This Row],[Cantidad]]),1)</f>
        <v>6</v>
      </c>
      <c r="P184" t="str">
        <f>IFERROR(_xlfn.XLOOKUP(K184,maestro_productos_15!$B$2:$B$16,maestro_productos_15!$C$2:$C$16),"No encontrada")</f>
        <v>Mascotas</v>
      </c>
      <c r="Q184" t="str">
        <f>IFERROR(_xlfn.XLOOKUP(K184,maestro_productos_15!$B$2:$B$16,maestro_productos_15!$D$2:$D$16),"No encontrada")</f>
        <v>NutriDog Arg</v>
      </c>
      <c r="R184">
        <f>ventas_raw_200[[#This Row],[Precio_Unitario]]*ventas_raw_200[[#This Row],[Cantidad_Auditada]]</f>
        <v>18600</v>
      </c>
      <c r="S184">
        <f>ventas_raw_200[[#This Row],[Costo_Unitario]]*ventas_raw_200[[#This Row],[Cantidad_Auditada]]</f>
        <v>10800</v>
      </c>
      <c r="T184">
        <f>ventas_raw_200[[#This Row],[Total_Venta]]-ventas_raw_200[[#This Row],[Total_Costo]]</f>
        <v>7800</v>
      </c>
      <c r="U184" s="3" cm="1">
        <f t="array" ref="U184">_xlfn.IFS(AND(G184&gt;25000,I184="Corrientes"),O184*G184*0.06,G184&gt;25000,O184*G184*0.04,TRUE,O184*G184*0.02)</f>
        <v>372</v>
      </c>
    </row>
    <row r="185" spans="1:21" x14ac:dyDescent="0.25">
      <c r="A185" t="s">
        <v>243</v>
      </c>
      <c r="B185" s="1">
        <v>46085</v>
      </c>
      <c r="C185" t="s">
        <v>38</v>
      </c>
      <c r="D185" t="s">
        <v>10</v>
      </c>
      <c r="E185" t="s">
        <v>41</v>
      </c>
      <c r="F185">
        <v>3</v>
      </c>
      <c r="G185">
        <v>4800</v>
      </c>
      <c r="H185">
        <v>2700</v>
      </c>
      <c r="I185" t="str">
        <f>PROPER(TRIM(ventas_raw_200[[#This Row],[Sucursal]]))</f>
        <v>Posadas</v>
      </c>
      <c r="J185" t="str">
        <f>PROPER(TRIM(ventas_raw_200[[#This Row],[Vendedor]]))</f>
        <v>Ana Martinez</v>
      </c>
      <c r="K185" t="str">
        <f>PROPER(TRIM(ventas_raw_200[[#This Row],[Producto]]))</f>
        <v>Juguete Mordillo Goma</v>
      </c>
      <c r="L185">
        <f>LEN(ventas_raw_200[[#This Row],[ID_Transaccion]])</f>
        <v>10</v>
      </c>
      <c r="M185" t="str">
        <f>TRIM(ventas_raw_200[[#This Row],[ID_Transaccion]])</f>
        <v>TRX-1184</v>
      </c>
      <c r="N185">
        <f>LEN(ventas_raw_200[[#This Row],[ID_Transaccion_Limpio]])</f>
        <v>8</v>
      </c>
      <c r="O185" s="2">
        <f>IFERROR(IF(ventas_raw_200[[#This Row],[Cantidad]]&lt;0,1,ventas_raw_200[[#This Row],[Cantidad]]),1)</f>
        <v>3</v>
      </c>
      <c r="P185" t="str">
        <f>IFERROR(_xlfn.XLOOKUP(K185,maestro_productos_15!$B$2:$B$16,maestro_productos_15!$C$2:$C$16),"No encontrada")</f>
        <v>Mascotas</v>
      </c>
      <c r="Q185" t="str">
        <f>IFERROR(_xlfn.XLOOKUP(K185,maestro_productos_15!$B$2:$B$16,maestro_productos_15!$D$2:$D$16),"No encontrada")</f>
        <v>PetStyle Litoral</v>
      </c>
      <c r="R185">
        <f>ventas_raw_200[[#This Row],[Precio_Unitario]]*ventas_raw_200[[#This Row],[Cantidad_Auditada]]</f>
        <v>14400</v>
      </c>
      <c r="S185">
        <f>ventas_raw_200[[#This Row],[Costo_Unitario]]*ventas_raw_200[[#This Row],[Cantidad_Auditada]]</f>
        <v>8100</v>
      </c>
      <c r="T185">
        <f>ventas_raw_200[[#This Row],[Total_Venta]]-ventas_raw_200[[#This Row],[Total_Costo]]</f>
        <v>6300</v>
      </c>
      <c r="U185" s="3" cm="1">
        <f t="array" ref="U185">_xlfn.IFS(AND(G185&gt;25000,I185="Corrientes"),O185*G185*0.06,G185&gt;25000,O185*G185*0.04,TRUE,O185*G185*0.02)</f>
        <v>288</v>
      </c>
    </row>
    <row r="186" spans="1:21" x14ac:dyDescent="0.25">
      <c r="A186" t="s">
        <v>244</v>
      </c>
      <c r="B186" s="1">
        <v>46043</v>
      </c>
      <c r="C186" t="s">
        <v>23</v>
      </c>
      <c r="D186" t="s">
        <v>30</v>
      </c>
      <c r="E186" t="s">
        <v>34</v>
      </c>
      <c r="F186">
        <v>11</v>
      </c>
      <c r="G186">
        <v>22000</v>
      </c>
      <c r="H186">
        <v>14000</v>
      </c>
      <c r="I186" t="str">
        <f>PROPER(TRIM(ventas_raw_200[[#This Row],[Sucursal]]))</f>
        <v>Corrientes</v>
      </c>
      <c r="J186" t="str">
        <f>PROPER(TRIM(ventas_raw_200[[#This Row],[Vendedor]]))</f>
        <v>Maria Gomez</v>
      </c>
      <c r="K186" t="str">
        <f>PROPER(TRIM(ventas_raw_200[[#This Row],[Producto]]))</f>
        <v>Cargador Rápido Usb-C 65W</v>
      </c>
      <c r="L186">
        <f>LEN(ventas_raw_200[[#This Row],[ID_Transaccion]])</f>
        <v>8</v>
      </c>
      <c r="M186" t="str">
        <f>TRIM(ventas_raw_200[[#This Row],[ID_Transaccion]])</f>
        <v>TRX-1185</v>
      </c>
      <c r="N186">
        <f>LEN(ventas_raw_200[[#This Row],[ID_Transaccion_Limpio]])</f>
        <v>8</v>
      </c>
      <c r="O186" s="2">
        <f>IFERROR(IF(ventas_raw_200[[#This Row],[Cantidad]]&lt;0,1,ventas_raw_200[[#This Row],[Cantidad]]),1)</f>
        <v>11</v>
      </c>
      <c r="P186" t="str">
        <f>IFERROR(_xlfn.XLOOKUP(K186,maestro_productos_15!$B$2:$B$16,maestro_productos_15!$C$2:$C$16),"No encontrada")</f>
        <v>Tecnología</v>
      </c>
      <c r="Q186" t="str">
        <f>IFERROR(_xlfn.XLOOKUP(K186,maestro_productos_15!$B$2:$B$16,maestro_productos_15!$D$2:$D$16),"No encontrada")</f>
        <v>TechImport S.R.L.</v>
      </c>
      <c r="R186">
        <f>ventas_raw_200[[#This Row],[Precio_Unitario]]*ventas_raw_200[[#This Row],[Cantidad_Auditada]]</f>
        <v>242000</v>
      </c>
      <c r="S186">
        <f>ventas_raw_200[[#This Row],[Costo_Unitario]]*ventas_raw_200[[#This Row],[Cantidad_Auditada]]</f>
        <v>154000</v>
      </c>
      <c r="T186">
        <f>ventas_raw_200[[#This Row],[Total_Venta]]-ventas_raw_200[[#This Row],[Total_Costo]]</f>
        <v>88000</v>
      </c>
      <c r="U186" s="3" cm="1">
        <f t="array" ref="U186">_xlfn.IFS(AND(G186&gt;25000,I186="Corrientes"),O186*G186*0.06,G186&gt;25000,O186*G186*0.04,TRUE,O186*G186*0.02)</f>
        <v>4840</v>
      </c>
    </row>
    <row r="187" spans="1:21" x14ac:dyDescent="0.25">
      <c r="A187" t="s">
        <v>245</v>
      </c>
      <c r="B187" s="1">
        <v>46066</v>
      </c>
      <c r="C187" t="s">
        <v>23</v>
      </c>
      <c r="D187" t="s">
        <v>33</v>
      </c>
      <c r="E187" t="s">
        <v>62</v>
      </c>
      <c r="F187">
        <v>2</v>
      </c>
      <c r="G187">
        <v>19500</v>
      </c>
      <c r="H187">
        <v>12000</v>
      </c>
      <c r="I187" t="str">
        <f>PROPER(TRIM(ventas_raw_200[[#This Row],[Sucursal]]))</f>
        <v>Corrientes</v>
      </c>
      <c r="J187" t="str">
        <f>PROPER(TRIM(ventas_raw_200[[#This Row],[Vendedor]]))</f>
        <v>Juan Perez</v>
      </c>
      <c r="K187" t="str">
        <f>PROPER(TRIM(ventas_raw_200[[#This Row],[Producto]]))</f>
        <v>Soporte Regulable Notebook</v>
      </c>
      <c r="L187">
        <f>LEN(ventas_raw_200[[#This Row],[ID_Transaccion]])</f>
        <v>8</v>
      </c>
      <c r="M187" t="str">
        <f>TRIM(ventas_raw_200[[#This Row],[ID_Transaccion]])</f>
        <v>TRX-1186</v>
      </c>
      <c r="N187">
        <f>LEN(ventas_raw_200[[#This Row],[ID_Transaccion_Limpio]])</f>
        <v>8</v>
      </c>
      <c r="O187" s="2">
        <f>IFERROR(IF(ventas_raw_200[[#This Row],[Cantidad]]&lt;0,1,ventas_raw_200[[#This Row],[Cantidad]]),1)</f>
        <v>2</v>
      </c>
      <c r="P187" t="str">
        <f>IFERROR(_xlfn.XLOOKUP(K187,maestro_productos_15!$B$2:$B$16,maestro_productos_15!$C$2:$C$16),"No encontrada")</f>
        <v>Tecnología</v>
      </c>
      <c r="Q187" t="str">
        <f>IFERROR(_xlfn.XLOOKUP(K187,maestro_productos_15!$B$2:$B$16,maestro_productos_15!$D$2:$D$16),"No encontrada")</f>
        <v>TechImport S.R.L.</v>
      </c>
      <c r="R187">
        <f>ventas_raw_200[[#This Row],[Precio_Unitario]]*ventas_raw_200[[#This Row],[Cantidad_Auditada]]</f>
        <v>39000</v>
      </c>
      <c r="S187">
        <f>ventas_raw_200[[#This Row],[Costo_Unitario]]*ventas_raw_200[[#This Row],[Cantidad_Auditada]]</f>
        <v>24000</v>
      </c>
      <c r="T187">
        <f>ventas_raw_200[[#This Row],[Total_Venta]]-ventas_raw_200[[#This Row],[Total_Costo]]</f>
        <v>15000</v>
      </c>
      <c r="U187" s="3" cm="1">
        <f t="array" ref="U187">_xlfn.IFS(AND(G187&gt;25000,I187="Corrientes"),O187*G187*0.06,G187&gt;25000,O187*G187*0.04,TRUE,O187*G187*0.02)</f>
        <v>780</v>
      </c>
    </row>
    <row r="188" spans="1:21" x14ac:dyDescent="0.25">
      <c r="A188" t="s">
        <v>246</v>
      </c>
      <c r="B188" s="1">
        <v>46030</v>
      </c>
      <c r="C188" t="s">
        <v>13</v>
      </c>
      <c r="D188" t="s">
        <v>69</v>
      </c>
      <c r="E188" t="s">
        <v>247</v>
      </c>
      <c r="F188">
        <v>7</v>
      </c>
      <c r="G188">
        <v>35000</v>
      </c>
      <c r="H188">
        <v>24000</v>
      </c>
      <c r="I188" t="str">
        <f>PROPER(TRIM(ventas_raw_200[[#This Row],[Sucursal]]))</f>
        <v>Posadas</v>
      </c>
      <c r="J188" t="str">
        <f>PROPER(TRIM(ventas_raw_200[[#This Row],[Vendedor]]))</f>
        <v>Carlos Ruiz</v>
      </c>
      <c r="K188" t="str">
        <f>PROPER(TRIM(ventas_raw_200[[#This Row],[Producto]]))</f>
        <v>Alimento Perro Adulto 15Kg</v>
      </c>
      <c r="L188">
        <f>LEN(ventas_raw_200[[#This Row],[ID_Transaccion]])</f>
        <v>8</v>
      </c>
      <c r="M188" t="str">
        <f>TRIM(ventas_raw_200[[#This Row],[ID_Transaccion]])</f>
        <v>TRX-1187</v>
      </c>
      <c r="N188">
        <f>LEN(ventas_raw_200[[#This Row],[ID_Transaccion_Limpio]])</f>
        <v>8</v>
      </c>
      <c r="O188" s="2">
        <f>IFERROR(IF(ventas_raw_200[[#This Row],[Cantidad]]&lt;0,1,ventas_raw_200[[#This Row],[Cantidad]]),1)</f>
        <v>7</v>
      </c>
      <c r="P188" t="str">
        <f>IFERROR(_xlfn.XLOOKUP(K188,maestro_productos_15!$B$2:$B$16,maestro_productos_15!$C$2:$C$16),"No encontrada")</f>
        <v>Mascotas</v>
      </c>
      <c r="Q188" t="str">
        <f>IFERROR(_xlfn.XLOOKUP(K188,maestro_productos_15!$B$2:$B$16,maestro_productos_15!$D$2:$D$16),"No encontrada")</f>
        <v>NutriDog Arg</v>
      </c>
      <c r="R188">
        <f>ventas_raw_200[[#This Row],[Precio_Unitario]]*ventas_raw_200[[#This Row],[Cantidad_Auditada]]</f>
        <v>245000</v>
      </c>
      <c r="S188">
        <f>ventas_raw_200[[#This Row],[Costo_Unitario]]*ventas_raw_200[[#This Row],[Cantidad_Auditada]]</f>
        <v>168000</v>
      </c>
      <c r="T188">
        <f>ventas_raw_200[[#This Row],[Total_Venta]]-ventas_raw_200[[#This Row],[Total_Costo]]</f>
        <v>77000</v>
      </c>
      <c r="U188" s="3" cm="1">
        <f t="array" ref="U188">_xlfn.IFS(AND(G188&gt;25000,I188="Corrientes"),O188*G188*0.06,G188&gt;25000,O188*G188*0.04,TRUE,O188*G188*0.02)</f>
        <v>9800</v>
      </c>
    </row>
    <row r="189" spans="1:21" x14ac:dyDescent="0.25">
      <c r="A189" t="s">
        <v>248</v>
      </c>
      <c r="B189" s="1">
        <v>46093</v>
      </c>
      <c r="C189" t="s">
        <v>38</v>
      </c>
      <c r="D189" t="s">
        <v>10</v>
      </c>
      <c r="E189" t="s">
        <v>249</v>
      </c>
      <c r="F189">
        <v>17</v>
      </c>
      <c r="G189">
        <v>29500</v>
      </c>
      <c r="H189">
        <v>20000</v>
      </c>
      <c r="I189" t="str">
        <f>PROPER(TRIM(ventas_raw_200[[#This Row],[Sucursal]]))</f>
        <v>Posadas</v>
      </c>
      <c r="J189" t="str">
        <f>PROPER(TRIM(ventas_raw_200[[#This Row],[Vendedor]]))</f>
        <v>Ana Martinez</v>
      </c>
      <c r="K189" t="str">
        <f>PROPER(TRIM(ventas_raw_200[[#This Row],[Producto]]))</f>
        <v>Alimento Gato Castrado 10Kg</v>
      </c>
      <c r="L189">
        <f>LEN(ventas_raw_200[[#This Row],[ID_Transaccion]])</f>
        <v>8</v>
      </c>
      <c r="M189" t="str">
        <f>TRIM(ventas_raw_200[[#This Row],[ID_Transaccion]])</f>
        <v>TRX-1188</v>
      </c>
      <c r="N189">
        <f>LEN(ventas_raw_200[[#This Row],[ID_Transaccion_Limpio]])</f>
        <v>8</v>
      </c>
      <c r="O189" s="2">
        <f>IFERROR(IF(ventas_raw_200[[#This Row],[Cantidad]]&lt;0,1,ventas_raw_200[[#This Row],[Cantidad]]),1)</f>
        <v>17</v>
      </c>
      <c r="P189" t="str">
        <f>IFERROR(_xlfn.XLOOKUP(K189,maestro_productos_15!$B$2:$B$16,maestro_productos_15!$C$2:$C$16),"No encontrada")</f>
        <v>Mascotas</v>
      </c>
      <c r="Q189" t="str">
        <f>IFERROR(_xlfn.XLOOKUP(K189,maestro_productos_15!$B$2:$B$16,maestro_productos_15!$D$2:$D$16),"No encontrada")</f>
        <v>NutriDog Arg</v>
      </c>
      <c r="R189">
        <f>ventas_raw_200[[#This Row],[Precio_Unitario]]*ventas_raw_200[[#This Row],[Cantidad_Auditada]]</f>
        <v>501500</v>
      </c>
      <c r="S189">
        <f>ventas_raw_200[[#This Row],[Costo_Unitario]]*ventas_raw_200[[#This Row],[Cantidad_Auditada]]</f>
        <v>340000</v>
      </c>
      <c r="T189">
        <f>ventas_raw_200[[#This Row],[Total_Venta]]-ventas_raw_200[[#This Row],[Total_Costo]]</f>
        <v>161500</v>
      </c>
      <c r="U189" s="3" cm="1">
        <f t="array" ref="U189">_xlfn.IFS(AND(G189&gt;25000,I189="Corrientes"),O189*G189*0.06,G189&gt;25000,O189*G189*0.04,TRUE,O189*G189*0.02)</f>
        <v>20060</v>
      </c>
    </row>
    <row r="190" spans="1:21" x14ac:dyDescent="0.25">
      <c r="A190" t="s">
        <v>250</v>
      </c>
      <c r="B190" s="1">
        <v>46112</v>
      </c>
      <c r="C190" t="s">
        <v>9</v>
      </c>
      <c r="D190" t="s">
        <v>14</v>
      </c>
      <c r="E190" t="s">
        <v>21</v>
      </c>
      <c r="F190">
        <v>7</v>
      </c>
      <c r="G190">
        <v>3800</v>
      </c>
      <c r="H190">
        <v>2500</v>
      </c>
      <c r="I190" t="str">
        <f>PROPER(TRIM(ventas_raw_200[[#This Row],[Sucursal]]))</f>
        <v>Corrientes</v>
      </c>
      <c r="J190" t="str">
        <f>PROPER(TRIM(ventas_raw_200[[#This Row],[Vendedor]]))</f>
        <v>Juan Perez</v>
      </c>
      <c r="K190" t="str">
        <f>PROPER(TRIM(ventas_raw_200[[#This Row],[Producto]]))</f>
        <v>Yerba Mate Premium 1Kg</v>
      </c>
      <c r="L190">
        <f>LEN(ventas_raw_200[[#This Row],[ID_Transaccion]])</f>
        <v>8</v>
      </c>
      <c r="M190" t="str">
        <f>TRIM(ventas_raw_200[[#This Row],[ID_Transaccion]])</f>
        <v>TRX-1189</v>
      </c>
      <c r="N190">
        <f>LEN(ventas_raw_200[[#This Row],[ID_Transaccion_Limpio]])</f>
        <v>8</v>
      </c>
      <c r="O190" s="2">
        <f>IFERROR(IF(ventas_raw_200[[#This Row],[Cantidad]]&lt;0,1,ventas_raw_200[[#This Row],[Cantidad]]),1)</f>
        <v>7</v>
      </c>
      <c r="P190" t="str">
        <f>IFERROR(_xlfn.XLOOKUP(K190,maestro_productos_15!$B$2:$B$16,maestro_productos_15!$C$2:$C$16),"No encontrada")</f>
        <v>Alimentos</v>
      </c>
      <c r="Q190" t="str">
        <f>IFERROR(_xlfn.XLOOKUP(K190,maestro_productos_15!$B$2:$B$16,maestro_productos_15!$D$2:$D$16),"No encontrada")</f>
        <v>Cooperativa Neike</v>
      </c>
      <c r="R190">
        <f>ventas_raw_200[[#This Row],[Precio_Unitario]]*ventas_raw_200[[#This Row],[Cantidad_Auditada]]</f>
        <v>26600</v>
      </c>
      <c r="S190">
        <f>ventas_raw_200[[#This Row],[Costo_Unitario]]*ventas_raw_200[[#This Row],[Cantidad_Auditada]]</f>
        <v>17500</v>
      </c>
      <c r="T190">
        <f>ventas_raw_200[[#This Row],[Total_Venta]]-ventas_raw_200[[#This Row],[Total_Costo]]</f>
        <v>9100</v>
      </c>
      <c r="U190" s="3" cm="1">
        <f t="array" ref="U190">_xlfn.IFS(AND(G190&gt;25000,I190="Corrientes"),O190*G190*0.06,G190&gt;25000,O190*G190*0.04,TRUE,O190*G190*0.02)</f>
        <v>532</v>
      </c>
    </row>
    <row r="191" spans="1:21" x14ac:dyDescent="0.25">
      <c r="A191" t="s">
        <v>251</v>
      </c>
      <c r="B191" s="1">
        <v>46027</v>
      </c>
      <c r="C191" t="s">
        <v>9</v>
      </c>
      <c r="D191" t="s">
        <v>69</v>
      </c>
      <c r="E191" t="s">
        <v>26</v>
      </c>
      <c r="F191">
        <v>6</v>
      </c>
      <c r="G191">
        <v>9200</v>
      </c>
      <c r="H191">
        <v>5500</v>
      </c>
      <c r="I191" t="str">
        <f>PROPER(TRIM(ventas_raw_200[[#This Row],[Sucursal]]))</f>
        <v>Corrientes</v>
      </c>
      <c r="J191" t="str">
        <f>PROPER(TRIM(ventas_raw_200[[#This Row],[Vendedor]]))</f>
        <v>Carlos Ruiz</v>
      </c>
      <c r="K191" t="str">
        <f>PROPER(TRIM(ventas_raw_200[[#This Row],[Producto]]))</f>
        <v>Correa Reforzada Canina 3M</v>
      </c>
      <c r="L191">
        <f>LEN(ventas_raw_200[[#This Row],[ID_Transaccion]])</f>
        <v>8</v>
      </c>
      <c r="M191" t="str">
        <f>TRIM(ventas_raw_200[[#This Row],[ID_Transaccion]])</f>
        <v>TRX-1190</v>
      </c>
      <c r="N191">
        <f>LEN(ventas_raw_200[[#This Row],[ID_Transaccion_Limpio]])</f>
        <v>8</v>
      </c>
      <c r="O191" s="2">
        <f>IFERROR(IF(ventas_raw_200[[#This Row],[Cantidad]]&lt;0,1,ventas_raw_200[[#This Row],[Cantidad]]),1)</f>
        <v>6</v>
      </c>
      <c r="P191" t="str">
        <f>IFERROR(_xlfn.XLOOKUP(K191,maestro_productos_15!$B$2:$B$16,maestro_productos_15!$C$2:$C$16),"No encontrada")</f>
        <v>Mascotas</v>
      </c>
      <c r="Q191" t="str">
        <f>IFERROR(_xlfn.XLOOKUP(K191,maestro_productos_15!$B$2:$B$16,maestro_productos_15!$D$2:$D$16),"No encontrada")</f>
        <v>PetStyle Litoral</v>
      </c>
      <c r="R191">
        <f>ventas_raw_200[[#This Row],[Precio_Unitario]]*ventas_raw_200[[#This Row],[Cantidad_Auditada]]</f>
        <v>55200</v>
      </c>
      <c r="S191">
        <f>ventas_raw_200[[#This Row],[Costo_Unitario]]*ventas_raw_200[[#This Row],[Cantidad_Auditada]]</f>
        <v>33000</v>
      </c>
      <c r="T191">
        <f>ventas_raw_200[[#This Row],[Total_Venta]]-ventas_raw_200[[#This Row],[Total_Costo]]</f>
        <v>22200</v>
      </c>
      <c r="U191" s="3" cm="1">
        <f t="array" ref="U191">_xlfn.IFS(AND(G191&gt;25000,I191="Corrientes"),O191*G191*0.06,G191&gt;25000,O191*G191*0.04,TRUE,O191*G191*0.02)</f>
        <v>1104</v>
      </c>
    </row>
    <row r="192" spans="1:21" x14ac:dyDescent="0.25">
      <c r="A192" t="s">
        <v>252</v>
      </c>
      <c r="B192" s="1">
        <v>46046</v>
      </c>
      <c r="C192" t="s">
        <v>13</v>
      </c>
      <c r="D192" t="s">
        <v>49</v>
      </c>
      <c r="E192" t="s">
        <v>93</v>
      </c>
      <c r="F192">
        <v>12</v>
      </c>
      <c r="G192">
        <v>3800</v>
      </c>
      <c r="H192">
        <v>2500</v>
      </c>
      <c r="I192" t="str">
        <f>PROPER(TRIM(ventas_raw_200[[#This Row],[Sucursal]]))</f>
        <v>Posadas</v>
      </c>
      <c r="J192" t="str">
        <f>PROPER(TRIM(ventas_raw_200[[#This Row],[Vendedor]]))</f>
        <v>Carlos Ruiz</v>
      </c>
      <c r="K192" t="str">
        <f>PROPER(TRIM(ventas_raw_200[[#This Row],[Producto]]))</f>
        <v>Yerba Mate Premium 1Kg</v>
      </c>
      <c r="L192">
        <f>LEN(ventas_raw_200[[#This Row],[ID_Transaccion]])</f>
        <v>8</v>
      </c>
      <c r="M192" t="str">
        <f>TRIM(ventas_raw_200[[#This Row],[ID_Transaccion]])</f>
        <v>TRX-1191</v>
      </c>
      <c r="N192">
        <f>LEN(ventas_raw_200[[#This Row],[ID_Transaccion_Limpio]])</f>
        <v>8</v>
      </c>
      <c r="O192" s="2">
        <f>IFERROR(IF(ventas_raw_200[[#This Row],[Cantidad]]&lt;0,1,ventas_raw_200[[#This Row],[Cantidad]]),1)</f>
        <v>12</v>
      </c>
      <c r="P192" t="str">
        <f>IFERROR(_xlfn.XLOOKUP(K192,maestro_productos_15!$B$2:$B$16,maestro_productos_15!$C$2:$C$16),"No encontrada")</f>
        <v>Alimentos</v>
      </c>
      <c r="Q192" t="str">
        <f>IFERROR(_xlfn.XLOOKUP(K192,maestro_productos_15!$B$2:$B$16,maestro_productos_15!$D$2:$D$16),"No encontrada")</f>
        <v>Cooperativa Neike</v>
      </c>
      <c r="R192">
        <f>ventas_raw_200[[#This Row],[Precio_Unitario]]*ventas_raw_200[[#This Row],[Cantidad_Auditada]]</f>
        <v>45600</v>
      </c>
      <c r="S192">
        <f>ventas_raw_200[[#This Row],[Costo_Unitario]]*ventas_raw_200[[#This Row],[Cantidad_Auditada]]</f>
        <v>30000</v>
      </c>
      <c r="T192">
        <f>ventas_raw_200[[#This Row],[Total_Venta]]-ventas_raw_200[[#This Row],[Total_Costo]]</f>
        <v>15600</v>
      </c>
      <c r="U192" s="3" cm="1">
        <f t="array" ref="U192">_xlfn.IFS(AND(G192&gt;25000,I192="Corrientes"),O192*G192*0.06,G192&gt;25000,O192*G192*0.04,TRUE,O192*G192*0.02)</f>
        <v>912</v>
      </c>
    </row>
    <row r="193" spans="1:21" x14ac:dyDescent="0.25">
      <c r="A193" t="s">
        <v>253</v>
      </c>
      <c r="B193" s="1">
        <v>46092</v>
      </c>
      <c r="C193" t="s">
        <v>9</v>
      </c>
      <c r="D193" t="s">
        <v>69</v>
      </c>
      <c r="E193" t="s">
        <v>36</v>
      </c>
      <c r="F193">
        <v>11</v>
      </c>
      <c r="G193">
        <v>3100</v>
      </c>
      <c r="H193">
        <v>1800</v>
      </c>
      <c r="I193" t="str">
        <f>PROPER(TRIM(ventas_raw_200[[#This Row],[Sucursal]]))</f>
        <v>Corrientes</v>
      </c>
      <c r="J193" t="str">
        <f>PROPER(TRIM(ventas_raw_200[[#This Row],[Vendedor]]))</f>
        <v>Carlos Ruiz</v>
      </c>
      <c r="K193" t="str">
        <f>PROPER(TRIM(ventas_raw_200[[#This Row],[Producto]]))</f>
        <v>Snack Premios Perro 250G</v>
      </c>
      <c r="L193">
        <f>LEN(ventas_raw_200[[#This Row],[ID_Transaccion]])</f>
        <v>10</v>
      </c>
      <c r="M193" t="str">
        <f>TRIM(ventas_raw_200[[#This Row],[ID_Transaccion]])</f>
        <v>TRX-1192</v>
      </c>
      <c r="N193">
        <f>LEN(ventas_raw_200[[#This Row],[ID_Transaccion_Limpio]])</f>
        <v>8</v>
      </c>
      <c r="O193" s="2">
        <f>IFERROR(IF(ventas_raw_200[[#This Row],[Cantidad]]&lt;0,1,ventas_raw_200[[#This Row],[Cantidad]]),1)</f>
        <v>11</v>
      </c>
      <c r="P193" t="str">
        <f>IFERROR(_xlfn.XLOOKUP(K193,maestro_productos_15!$B$2:$B$16,maestro_productos_15!$C$2:$C$16),"No encontrada")</f>
        <v>Mascotas</v>
      </c>
      <c r="Q193" t="str">
        <f>IFERROR(_xlfn.XLOOKUP(K193,maestro_productos_15!$B$2:$B$16,maestro_productos_15!$D$2:$D$16),"No encontrada")</f>
        <v>NutriDog Arg</v>
      </c>
      <c r="R193">
        <f>ventas_raw_200[[#This Row],[Precio_Unitario]]*ventas_raw_200[[#This Row],[Cantidad_Auditada]]</f>
        <v>34100</v>
      </c>
      <c r="S193">
        <f>ventas_raw_200[[#This Row],[Costo_Unitario]]*ventas_raw_200[[#This Row],[Cantidad_Auditada]]</f>
        <v>19800</v>
      </c>
      <c r="T193">
        <f>ventas_raw_200[[#This Row],[Total_Venta]]-ventas_raw_200[[#This Row],[Total_Costo]]</f>
        <v>14300</v>
      </c>
      <c r="U193" s="3" cm="1">
        <f t="array" ref="U193">_xlfn.IFS(AND(G193&gt;25000,I193="Corrientes"),O193*G193*0.06,G193&gt;25000,O193*G193*0.04,TRUE,O193*G193*0.02)</f>
        <v>682</v>
      </c>
    </row>
    <row r="194" spans="1:21" x14ac:dyDescent="0.25">
      <c r="A194" t="s">
        <v>254</v>
      </c>
      <c r="B194" s="1">
        <v>46029</v>
      </c>
      <c r="C194" t="s">
        <v>19</v>
      </c>
      <c r="D194" t="s">
        <v>14</v>
      </c>
      <c r="E194" t="s">
        <v>34</v>
      </c>
      <c r="F194">
        <v>11</v>
      </c>
      <c r="G194">
        <v>22000</v>
      </c>
      <c r="H194">
        <v>14000</v>
      </c>
      <c r="I194" t="str">
        <f>PROPER(TRIM(ventas_raw_200[[#This Row],[Sucursal]]))</f>
        <v>Resistencia</v>
      </c>
      <c r="J194" t="str">
        <f>PROPER(TRIM(ventas_raw_200[[#This Row],[Vendedor]]))</f>
        <v>Juan Perez</v>
      </c>
      <c r="K194" t="str">
        <f>PROPER(TRIM(ventas_raw_200[[#This Row],[Producto]]))</f>
        <v>Cargador Rápido Usb-C 65W</v>
      </c>
      <c r="L194">
        <f>LEN(ventas_raw_200[[#This Row],[ID_Transaccion]])</f>
        <v>8</v>
      </c>
      <c r="M194" t="str">
        <f>TRIM(ventas_raw_200[[#This Row],[ID_Transaccion]])</f>
        <v>TRX-1193</v>
      </c>
      <c r="N194">
        <f>LEN(ventas_raw_200[[#This Row],[ID_Transaccion_Limpio]])</f>
        <v>8</v>
      </c>
      <c r="O194" s="2">
        <f>IFERROR(IF(ventas_raw_200[[#This Row],[Cantidad]]&lt;0,1,ventas_raw_200[[#This Row],[Cantidad]]),1)</f>
        <v>11</v>
      </c>
      <c r="P194" t="str">
        <f>IFERROR(_xlfn.XLOOKUP(K194,maestro_productos_15!$B$2:$B$16,maestro_productos_15!$C$2:$C$16),"No encontrada")</f>
        <v>Tecnología</v>
      </c>
      <c r="Q194" t="str">
        <f>IFERROR(_xlfn.XLOOKUP(K194,maestro_productos_15!$B$2:$B$16,maestro_productos_15!$D$2:$D$16),"No encontrada")</f>
        <v>TechImport S.R.L.</v>
      </c>
      <c r="R194">
        <f>ventas_raw_200[[#This Row],[Precio_Unitario]]*ventas_raw_200[[#This Row],[Cantidad_Auditada]]</f>
        <v>242000</v>
      </c>
      <c r="S194">
        <f>ventas_raw_200[[#This Row],[Costo_Unitario]]*ventas_raw_200[[#This Row],[Cantidad_Auditada]]</f>
        <v>154000</v>
      </c>
      <c r="T194">
        <f>ventas_raw_200[[#This Row],[Total_Venta]]-ventas_raw_200[[#This Row],[Total_Costo]]</f>
        <v>88000</v>
      </c>
      <c r="U194" s="3" cm="1">
        <f t="array" ref="U194">_xlfn.IFS(AND(G194&gt;25000,I194="Corrientes"),O194*G194*0.06,G194&gt;25000,O194*G194*0.04,TRUE,O194*G194*0.02)</f>
        <v>4840</v>
      </c>
    </row>
    <row r="195" spans="1:21" x14ac:dyDescent="0.25">
      <c r="A195" t="s">
        <v>255</v>
      </c>
      <c r="B195" s="1">
        <v>46025</v>
      </c>
      <c r="C195" t="s">
        <v>19</v>
      </c>
      <c r="D195" t="s">
        <v>14</v>
      </c>
      <c r="E195" t="s">
        <v>50</v>
      </c>
      <c r="F195">
        <v>4</v>
      </c>
      <c r="G195">
        <v>32000</v>
      </c>
      <c r="H195">
        <v>21000</v>
      </c>
      <c r="I195" t="str">
        <f>PROPER(TRIM(ventas_raw_200[[#This Row],[Sucursal]]))</f>
        <v>Resistencia</v>
      </c>
      <c r="J195" t="str">
        <f>PROPER(TRIM(ventas_raw_200[[#This Row],[Vendedor]]))</f>
        <v>Juan Perez</v>
      </c>
      <c r="K195" t="str">
        <f>PROPER(TRIM(ventas_raw_200[[#This Row],[Producto]]))</f>
        <v>Termo Acero Inoxidable 1.3L</v>
      </c>
      <c r="L195">
        <f>LEN(ventas_raw_200[[#This Row],[ID_Transaccion]])</f>
        <v>8</v>
      </c>
      <c r="M195" t="str">
        <f>TRIM(ventas_raw_200[[#This Row],[ID_Transaccion]])</f>
        <v>TRX-1194</v>
      </c>
      <c r="N195">
        <f>LEN(ventas_raw_200[[#This Row],[ID_Transaccion_Limpio]])</f>
        <v>8</v>
      </c>
      <c r="O195" s="2">
        <f>IFERROR(IF(ventas_raw_200[[#This Row],[Cantidad]]&lt;0,1,ventas_raw_200[[#This Row],[Cantidad]]),1)</f>
        <v>4</v>
      </c>
      <c r="P195" t="str">
        <f>IFERROR(_xlfn.XLOOKUP(K195,maestro_productos_15!$B$2:$B$16,maestro_productos_15!$C$2:$C$16),"No encontrada")</f>
        <v>Bazar</v>
      </c>
      <c r="Q195" t="str">
        <f>IFERROR(_xlfn.XLOOKUP(K195,maestro_productos_15!$B$2:$B$16,maestro_productos_15!$D$2:$D$16),"No encontrada")</f>
        <v>Distribuidora del Nordeste</v>
      </c>
      <c r="R195">
        <f>ventas_raw_200[[#This Row],[Precio_Unitario]]*ventas_raw_200[[#This Row],[Cantidad_Auditada]]</f>
        <v>128000</v>
      </c>
      <c r="S195">
        <f>ventas_raw_200[[#This Row],[Costo_Unitario]]*ventas_raw_200[[#This Row],[Cantidad_Auditada]]</f>
        <v>84000</v>
      </c>
      <c r="T195">
        <f>ventas_raw_200[[#This Row],[Total_Venta]]-ventas_raw_200[[#This Row],[Total_Costo]]</f>
        <v>44000</v>
      </c>
      <c r="U195" s="3" cm="1">
        <f t="array" ref="U195">_xlfn.IFS(AND(G195&gt;25000,I195="Corrientes"),O195*G195*0.06,G195&gt;25000,O195*G195*0.04,TRUE,O195*G195*0.02)</f>
        <v>5120</v>
      </c>
    </row>
    <row r="196" spans="1:21" x14ac:dyDescent="0.25">
      <c r="A196" t="s">
        <v>256</v>
      </c>
      <c r="B196" s="1">
        <v>46057</v>
      </c>
      <c r="C196" t="s">
        <v>25</v>
      </c>
      <c r="D196" t="s">
        <v>30</v>
      </c>
      <c r="E196" t="s">
        <v>72</v>
      </c>
      <c r="F196">
        <v>8</v>
      </c>
      <c r="G196">
        <v>45000</v>
      </c>
      <c r="H196">
        <v>30000</v>
      </c>
      <c r="I196" t="str">
        <f>PROPER(TRIM(ventas_raw_200[[#This Row],[Sucursal]]))</f>
        <v>Formosa</v>
      </c>
      <c r="J196" t="str">
        <f>PROPER(TRIM(ventas_raw_200[[#This Row],[Vendedor]]))</f>
        <v>Maria Gomez</v>
      </c>
      <c r="K196" t="str">
        <f>PROPER(TRIM(ventas_raw_200[[#This Row],[Producto]]))</f>
        <v>Teclado Mecánico Rgb</v>
      </c>
      <c r="L196">
        <f>LEN(ventas_raw_200[[#This Row],[ID_Transaccion]])</f>
        <v>10</v>
      </c>
      <c r="M196" t="str">
        <f>TRIM(ventas_raw_200[[#This Row],[ID_Transaccion]])</f>
        <v>TRX-1195</v>
      </c>
      <c r="N196">
        <f>LEN(ventas_raw_200[[#This Row],[ID_Transaccion_Limpio]])</f>
        <v>8</v>
      </c>
      <c r="O196" s="2">
        <f>IFERROR(IF(ventas_raw_200[[#This Row],[Cantidad]]&lt;0,1,ventas_raw_200[[#This Row],[Cantidad]]),1)</f>
        <v>8</v>
      </c>
      <c r="P196" t="str">
        <f>IFERROR(_xlfn.XLOOKUP(K196,maestro_productos_15!$B$2:$B$16,maestro_productos_15!$C$2:$C$16),"No encontrada")</f>
        <v>Tecnología</v>
      </c>
      <c r="Q196" t="str">
        <f>IFERROR(_xlfn.XLOOKUP(K196,maestro_productos_15!$B$2:$B$16,maestro_productos_15!$D$2:$D$16),"No encontrada")</f>
        <v>TechImport S.R.L.</v>
      </c>
      <c r="R196">
        <f>ventas_raw_200[[#This Row],[Precio_Unitario]]*ventas_raw_200[[#This Row],[Cantidad_Auditada]]</f>
        <v>360000</v>
      </c>
      <c r="S196">
        <f>ventas_raw_200[[#This Row],[Costo_Unitario]]*ventas_raw_200[[#This Row],[Cantidad_Auditada]]</f>
        <v>240000</v>
      </c>
      <c r="T196">
        <f>ventas_raw_200[[#This Row],[Total_Venta]]-ventas_raw_200[[#This Row],[Total_Costo]]</f>
        <v>120000</v>
      </c>
      <c r="U196" s="3" cm="1">
        <f t="array" ref="U196">_xlfn.IFS(AND(G196&gt;25000,I196="Corrientes"),O196*G196*0.06,G196&gt;25000,O196*G196*0.04,TRUE,O196*G196*0.02)</f>
        <v>14400</v>
      </c>
    </row>
    <row r="197" spans="1:21" x14ac:dyDescent="0.25">
      <c r="A197" t="s">
        <v>257</v>
      </c>
      <c r="B197" s="1">
        <v>46079</v>
      </c>
      <c r="C197" t="s">
        <v>13</v>
      </c>
      <c r="D197" t="s">
        <v>49</v>
      </c>
      <c r="E197" t="s">
        <v>60</v>
      </c>
      <c r="F197">
        <v>25</v>
      </c>
      <c r="G197">
        <v>8500</v>
      </c>
      <c r="H197">
        <v>4800</v>
      </c>
      <c r="I197" t="str">
        <f>PROPER(TRIM(ventas_raw_200[[#This Row],[Sucursal]]))</f>
        <v>Posadas</v>
      </c>
      <c r="J197" t="str">
        <f>PROPER(TRIM(ventas_raw_200[[#This Row],[Vendedor]]))</f>
        <v>Carlos Ruiz</v>
      </c>
      <c r="K197" t="str">
        <f>PROPER(TRIM(ventas_raw_200[[#This Row],[Producto]]))</f>
        <v>Mates De Madera Calada</v>
      </c>
      <c r="L197">
        <f>LEN(ventas_raw_200[[#This Row],[ID_Transaccion]])</f>
        <v>8</v>
      </c>
      <c r="M197" t="str">
        <f>TRIM(ventas_raw_200[[#This Row],[ID_Transaccion]])</f>
        <v>TRX-1196</v>
      </c>
      <c r="N197">
        <f>LEN(ventas_raw_200[[#This Row],[ID_Transaccion_Limpio]])</f>
        <v>8</v>
      </c>
      <c r="O197" s="2">
        <f>IFERROR(IF(ventas_raw_200[[#This Row],[Cantidad]]&lt;0,1,ventas_raw_200[[#This Row],[Cantidad]]),1)</f>
        <v>25</v>
      </c>
      <c r="P197" t="str">
        <f>IFERROR(_xlfn.XLOOKUP(K197,maestro_productos_15!$B$2:$B$16,maestro_productos_15!$C$2:$C$16),"No encontrada")</f>
        <v>Bazar</v>
      </c>
      <c r="Q197" t="str">
        <f>IFERROR(_xlfn.XLOOKUP(K197,maestro_productos_15!$B$2:$B$16,maestro_productos_15!$D$2:$D$16),"No encontrada")</f>
        <v>Artesanías Guaraníes</v>
      </c>
      <c r="R197">
        <f>ventas_raw_200[[#This Row],[Precio_Unitario]]*ventas_raw_200[[#This Row],[Cantidad_Auditada]]</f>
        <v>212500</v>
      </c>
      <c r="S197">
        <f>ventas_raw_200[[#This Row],[Costo_Unitario]]*ventas_raw_200[[#This Row],[Cantidad_Auditada]]</f>
        <v>120000</v>
      </c>
      <c r="T197">
        <f>ventas_raw_200[[#This Row],[Total_Venta]]-ventas_raw_200[[#This Row],[Total_Costo]]</f>
        <v>92500</v>
      </c>
      <c r="U197" s="3" cm="1">
        <f t="array" ref="U197">_xlfn.IFS(AND(G197&gt;25000,I197="Corrientes"),O197*G197*0.06,G197&gt;25000,O197*G197*0.04,TRUE,O197*G197*0.02)</f>
        <v>4250</v>
      </c>
    </row>
    <row r="198" spans="1:21" x14ac:dyDescent="0.25">
      <c r="A198" t="s">
        <v>258</v>
      </c>
      <c r="B198" s="1">
        <v>46074</v>
      </c>
      <c r="C198" t="s">
        <v>23</v>
      </c>
      <c r="D198" t="s">
        <v>14</v>
      </c>
      <c r="E198" t="s">
        <v>17</v>
      </c>
      <c r="F198">
        <v>7</v>
      </c>
      <c r="G198">
        <v>15000</v>
      </c>
      <c r="H198">
        <v>9500</v>
      </c>
      <c r="I198" t="str">
        <f>PROPER(TRIM(ventas_raw_200[[#This Row],[Sucursal]]))</f>
        <v>Corrientes</v>
      </c>
      <c r="J198" t="str">
        <f>PROPER(TRIM(ventas_raw_200[[#This Row],[Vendedor]]))</f>
        <v>Juan Perez</v>
      </c>
      <c r="K198" t="str">
        <f>PROPER(TRIM(ventas_raw_200[[#This Row],[Producto]]))</f>
        <v>Mouse Inalámbrico Ergonómico</v>
      </c>
      <c r="L198">
        <f>LEN(ventas_raw_200[[#This Row],[ID_Transaccion]])</f>
        <v>8</v>
      </c>
      <c r="M198" t="str">
        <f>TRIM(ventas_raw_200[[#This Row],[ID_Transaccion]])</f>
        <v>TRX-1197</v>
      </c>
      <c r="N198">
        <f>LEN(ventas_raw_200[[#This Row],[ID_Transaccion_Limpio]])</f>
        <v>8</v>
      </c>
      <c r="O198" s="2">
        <f>IFERROR(IF(ventas_raw_200[[#This Row],[Cantidad]]&lt;0,1,ventas_raw_200[[#This Row],[Cantidad]]),1)</f>
        <v>7</v>
      </c>
      <c r="P198" t="str">
        <f>IFERROR(_xlfn.XLOOKUP(K198,maestro_productos_15!$B$2:$B$16,maestro_productos_15!$C$2:$C$16),"No encontrada")</f>
        <v>Tecnología</v>
      </c>
      <c r="Q198" t="str">
        <f>IFERROR(_xlfn.XLOOKUP(K198,maestro_productos_15!$B$2:$B$16,maestro_productos_15!$D$2:$D$16),"No encontrada")</f>
        <v>TechImport S.R.L.</v>
      </c>
      <c r="R198">
        <f>ventas_raw_200[[#This Row],[Precio_Unitario]]*ventas_raw_200[[#This Row],[Cantidad_Auditada]]</f>
        <v>105000</v>
      </c>
      <c r="S198">
        <f>ventas_raw_200[[#This Row],[Costo_Unitario]]*ventas_raw_200[[#This Row],[Cantidad_Auditada]]</f>
        <v>66500</v>
      </c>
      <c r="T198">
        <f>ventas_raw_200[[#This Row],[Total_Venta]]-ventas_raw_200[[#This Row],[Total_Costo]]</f>
        <v>38500</v>
      </c>
      <c r="U198" s="3" cm="1">
        <f t="array" ref="U198">_xlfn.IFS(AND(G198&gt;25000,I198="Corrientes"),O198*G198*0.06,G198&gt;25000,O198*G198*0.04,TRUE,O198*G198*0.02)</f>
        <v>2100</v>
      </c>
    </row>
    <row r="199" spans="1:21" x14ac:dyDescent="0.25">
      <c r="A199" t="s">
        <v>259</v>
      </c>
      <c r="B199" s="1">
        <v>46027</v>
      </c>
      <c r="C199" t="s">
        <v>23</v>
      </c>
      <c r="D199" t="s">
        <v>20</v>
      </c>
      <c r="E199" t="s">
        <v>50</v>
      </c>
      <c r="F199">
        <v>15</v>
      </c>
      <c r="G199">
        <v>32000</v>
      </c>
      <c r="H199">
        <v>21000</v>
      </c>
      <c r="I199" t="str">
        <f>PROPER(TRIM(ventas_raw_200[[#This Row],[Sucursal]]))</f>
        <v>Corrientes</v>
      </c>
      <c r="J199" t="str">
        <f>PROPER(TRIM(ventas_raw_200[[#This Row],[Vendedor]]))</f>
        <v>Ana Martinez</v>
      </c>
      <c r="K199" t="str">
        <f>PROPER(TRIM(ventas_raw_200[[#This Row],[Producto]]))</f>
        <v>Termo Acero Inoxidable 1.3L</v>
      </c>
      <c r="L199">
        <f>LEN(ventas_raw_200[[#This Row],[ID_Transaccion]])</f>
        <v>8</v>
      </c>
      <c r="M199" t="str">
        <f>TRIM(ventas_raw_200[[#This Row],[ID_Transaccion]])</f>
        <v>TRX-1198</v>
      </c>
      <c r="N199">
        <f>LEN(ventas_raw_200[[#This Row],[ID_Transaccion_Limpio]])</f>
        <v>8</v>
      </c>
      <c r="O199" s="2">
        <f>IFERROR(IF(ventas_raw_200[[#This Row],[Cantidad]]&lt;0,1,ventas_raw_200[[#This Row],[Cantidad]]),1)</f>
        <v>15</v>
      </c>
      <c r="P199" t="str">
        <f>IFERROR(_xlfn.XLOOKUP(K199,maestro_productos_15!$B$2:$B$16,maestro_productos_15!$C$2:$C$16),"No encontrada")</f>
        <v>Bazar</v>
      </c>
      <c r="Q199" t="str">
        <f>IFERROR(_xlfn.XLOOKUP(K199,maestro_productos_15!$B$2:$B$16,maestro_productos_15!$D$2:$D$16),"No encontrada")</f>
        <v>Distribuidora del Nordeste</v>
      </c>
      <c r="R199">
        <f>ventas_raw_200[[#This Row],[Precio_Unitario]]*ventas_raw_200[[#This Row],[Cantidad_Auditada]]</f>
        <v>480000</v>
      </c>
      <c r="S199">
        <f>ventas_raw_200[[#This Row],[Costo_Unitario]]*ventas_raw_200[[#This Row],[Cantidad_Auditada]]</f>
        <v>315000</v>
      </c>
      <c r="T199">
        <f>ventas_raw_200[[#This Row],[Total_Venta]]-ventas_raw_200[[#This Row],[Total_Costo]]</f>
        <v>165000</v>
      </c>
      <c r="U199" s="3" cm="1">
        <f t="array" ref="U199">_xlfn.IFS(AND(G199&gt;25000,I199="Corrientes"),O199*G199*0.06,G199&gt;25000,O199*G199*0.04,TRUE,O199*G199*0.02)</f>
        <v>28800</v>
      </c>
    </row>
    <row r="200" spans="1:21" x14ac:dyDescent="0.25">
      <c r="A200" t="s">
        <v>260</v>
      </c>
      <c r="B200" s="1">
        <v>46070</v>
      </c>
      <c r="C200" t="s">
        <v>13</v>
      </c>
      <c r="D200" t="s">
        <v>10</v>
      </c>
      <c r="E200" t="s">
        <v>74</v>
      </c>
      <c r="F200">
        <v>20</v>
      </c>
      <c r="G200">
        <v>28000</v>
      </c>
      <c r="H200">
        <v>18000</v>
      </c>
      <c r="I200" t="str">
        <f>PROPER(TRIM(ventas_raw_200[[#This Row],[Sucursal]]))</f>
        <v>Posadas</v>
      </c>
      <c r="J200" t="str">
        <f>PROPER(TRIM(ventas_raw_200[[#This Row],[Vendedor]]))</f>
        <v>Ana Martinez</v>
      </c>
      <c r="K200" t="str">
        <f>PROPER(TRIM(ventas_raw_200[[#This Row],[Producto]]))</f>
        <v>Auriculares Bluetooth Pro</v>
      </c>
      <c r="L200">
        <f>LEN(ventas_raw_200[[#This Row],[ID_Transaccion]])</f>
        <v>8</v>
      </c>
      <c r="M200" t="str">
        <f>TRIM(ventas_raw_200[[#This Row],[ID_Transaccion]])</f>
        <v>TRX-1199</v>
      </c>
      <c r="N200">
        <f>LEN(ventas_raw_200[[#This Row],[ID_Transaccion_Limpio]])</f>
        <v>8</v>
      </c>
      <c r="O200" s="2">
        <f>IFERROR(IF(ventas_raw_200[[#This Row],[Cantidad]]&lt;0,1,ventas_raw_200[[#This Row],[Cantidad]]),1)</f>
        <v>20</v>
      </c>
      <c r="P200" t="str">
        <f>IFERROR(_xlfn.XLOOKUP(K200,maestro_productos_15!$B$2:$B$16,maestro_productos_15!$C$2:$C$16),"No encontrada")</f>
        <v>Tecnología</v>
      </c>
      <c r="Q200" t="str">
        <f>IFERROR(_xlfn.XLOOKUP(K200,maestro_productos_15!$B$2:$B$16,maestro_productos_15!$D$2:$D$16),"No encontrada")</f>
        <v>TechImport S.R.L.</v>
      </c>
      <c r="R200">
        <f>ventas_raw_200[[#This Row],[Precio_Unitario]]*ventas_raw_200[[#This Row],[Cantidad_Auditada]]</f>
        <v>560000</v>
      </c>
      <c r="S200">
        <f>ventas_raw_200[[#This Row],[Costo_Unitario]]*ventas_raw_200[[#This Row],[Cantidad_Auditada]]</f>
        <v>360000</v>
      </c>
      <c r="T200">
        <f>ventas_raw_200[[#This Row],[Total_Venta]]-ventas_raw_200[[#This Row],[Total_Costo]]</f>
        <v>200000</v>
      </c>
      <c r="U200" s="3" cm="1">
        <f t="array" ref="U200">_xlfn.IFS(AND(G200&gt;25000,I200="Corrientes"),O200*G200*0.06,G200&gt;25000,O200*G200*0.04,TRUE,O200*G200*0.02)</f>
        <v>22400</v>
      </c>
    </row>
    <row r="201" spans="1:21" x14ac:dyDescent="0.25">
      <c r="A201" t="s">
        <v>261</v>
      </c>
      <c r="B201" s="1">
        <v>46075</v>
      </c>
      <c r="C201" t="s">
        <v>9</v>
      </c>
      <c r="D201" t="s">
        <v>69</v>
      </c>
      <c r="E201" t="s">
        <v>60</v>
      </c>
      <c r="F201">
        <v>10</v>
      </c>
      <c r="G201">
        <v>8500</v>
      </c>
      <c r="H201">
        <v>4800</v>
      </c>
      <c r="I201" t="str">
        <f>PROPER(TRIM(ventas_raw_200[[#This Row],[Sucursal]]))</f>
        <v>Corrientes</v>
      </c>
      <c r="J201" t="str">
        <f>PROPER(TRIM(ventas_raw_200[[#This Row],[Vendedor]]))</f>
        <v>Carlos Ruiz</v>
      </c>
      <c r="K201" t="str">
        <f>PROPER(TRIM(ventas_raw_200[[#This Row],[Producto]]))</f>
        <v>Mates De Madera Calada</v>
      </c>
      <c r="L201">
        <f>LEN(ventas_raw_200[[#This Row],[ID_Transaccion]])</f>
        <v>8</v>
      </c>
      <c r="M201" t="str">
        <f>TRIM(ventas_raw_200[[#This Row],[ID_Transaccion]])</f>
        <v>TRX-1200</v>
      </c>
      <c r="N201">
        <f>LEN(ventas_raw_200[[#This Row],[ID_Transaccion_Limpio]])</f>
        <v>8</v>
      </c>
      <c r="O201" s="2">
        <f>IFERROR(IF(ventas_raw_200[[#This Row],[Cantidad]]&lt;0,1,ventas_raw_200[[#This Row],[Cantidad]]),1)</f>
        <v>10</v>
      </c>
      <c r="P201" t="str">
        <f>IFERROR(_xlfn.XLOOKUP(K201,maestro_productos_15!$B$2:$B$16,maestro_productos_15!$C$2:$C$16),"No encontrada")</f>
        <v>Bazar</v>
      </c>
      <c r="Q201" t="str">
        <f>IFERROR(_xlfn.XLOOKUP(K201,maestro_productos_15!$B$2:$B$16,maestro_productos_15!$D$2:$D$16),"No encontrada")</f>
        <v>Artesanías Guaraníes</v>
      </c>
      <c r="R201">
        <f>ventas_raw_200[[#This Row],[Precio_Unitario]]*ventas_raw_200[[#This Row],[Cantidad_Auditada]]</f>
        <v>85000</v>
      </c>
      <c r="S201">
        <f>ventas_raw_200[[#This Row],[Costo_Unitario]]*ventas_raw_200[[#This Row],[Cantidad_Auditada]]</f>
        <v>48000</v>
      </c>
      <c r="T201">
        <f>ventas_raw_200[[#This Row],[Total_Venta]]-ventas_raw_200[[#This Row],[Total_Costo]]</f>
        <v>37000</v>
      </c>
      <c r="U201" s="3" cm="1">
        <f t="array" ref="U201">_xlfn.IFS(AND(G201&gt;25000,I201="Corrientes"),O201*G201*0.06,G201&gt;25000,O201*G201*0.04,TRUE,O201*G201*0.02)</f>
        <v>1700</v>
      </c>
    </row>
  </sheetData>
  <pageMargins left="0.7" right="0.7" top="0.75" bottom="0.75" header="0.3" footer="0.3"/>
  <ignoredErrors>
    <ignoredError sqref="M2:M202" calculatedColumn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5BD71-F3CD-4C17-BC93-027A609F9AED}">
  <sheetPr codeName="Hoja2"/>
  <dimension ref="A1:F16"/>
  <sheetViews>
    <sheetView workbookViewId="0"/>
  </sheetViews>
  <sheetFormatPr baseColWidth="10" defaultRowHeight="15" x14ac:dyDescent="0.25"/>
  <cols>
    <col min="1" max="1" width="8.140625" bestFit="1" customWidth="1"/>
    <col min="2" max="2" width="29.5703125" bestFit="1" customWidth="1"/>
    <col min="3" max="3" width="12" bestFit="1" customWidth="1"/>
    <col min="4" max="4" width="24.5703125" bestFit="1" customWidth="1"/>
    <col min="5" max="5" width="14.140625" bestFit="1" customWidth="1"/>
    <col min="6" max="6" width="13.85546875" bestFit="1" customWidth="1"/>
  </cols>
  <sheetData>
    <row r="1" spans="1:6" x14ac:dyDescent="0.25">
      <c r="A1" t="s">
        <v>269</v>
      </c>
      <c r="B1" t="s">
        <v>4</v>
      </c>
      <c r="C1" t="s">
        <v>270</v>
      </c>
      <c r="D1" t="s">
        <v>271</v>
      </c>
      <c r="E1" t="s">
        <v>272</v>
      </c>
      <c r="F1" t="s">
        <v>273</v>
      </c>
    </row>
    <row r="2" spans="1:6" x14ac:dyDescent="0.25">
      <c r="A2" t="s">
        <v>274</v>
      </c>
      <c r="B2" t="s">
        <v>21</v>
      </c>
      <c r="C2" t="s">
        <v>275</v>
      </c>
      <c r="D2" t="s">
        <v>276</v>
      </c>
      <c r="E2">
        <v>3800</v>
      </c>
      <c r="F2">
        <v>2500</v>
      </c>
    </row>
    <row r="3" spans="1:6" x14ac:dyDescent="0.25">
      <c r="A3" t="s">
        <v>277</v>
      </c>
      <c r="B3" t="s">
        <v>28</v>
      </c>
      <c r="C3" t="s">
        <v>278</v>
      </c>
      <c r="D3" t="s">
        <v>279</v>
      </c>
      <c r="E3">
        <v>35000</v>
      </c>
      <c r="F3">
        <v>24000</v>
      </c>
    </row>
    <row r="4" spans="1:6" x14ac:dyDescent="0.25">
      <c r="A4" t="s">
        <v>280</v>
      </c>
      <c r="B4" t="s">
        <v>74</v>
      </c>
      <c r="C4" t="s">
        <v>281</v>
      </c>
      <c r="D4" t="s">
        <v>282</v>
      </c>
      <c r="E4">
        <v>28000</v>
      </c>
      <c r="F4">
        <v>18000</v>
      </c>
    </row>
    <row r="5" spans="1:6" x14ac:dyDescent="0.25">
      <c r="A5" t="s">
        <v>283</v>
      </c>
      <c r="B5" t="s">
        <v>62</v>
      </c>
      <c r="C5" t="s">
        <v>281</v>
      </c>
      <c r="D5" t="s">
        <v>282</v>
      </c>
      <c r="E5">
        <v>19500</v>
      </c>
      <c r="F5">
        <v>12000</v>
      </c>
    </row>
    <row r="6" spans="1:6" x14ac:dyDescent="0.25">
      <c r="A6" t="s">
        <v>284</v>
      </c>
      <c r="B6" t="s">
        <v>109</v>
      </c>
      <c r="C6" t="s">
        <v>278</v>
      </c>
      <c r="D6" t="s">
        <v>285</v>
      </c>
      <c r="E6">
        <v>9200</v>
      </c>
      <c r="F6">
        <v>5500</v>
      </c>
    </row>
    <row r="7" spans="1:6" x14ac:dyDescent="0.25">
      <c r="A7" t="s">
        <v>286</v>
      </c>
      <c r="B7" t="s">
        <v>41</v>
      </c>
      <c r="C7" t="s">
        <v>278</v>
      </c>
      <c r="D7" t="s">
        <v>285</v>
      </c>
      <c r="E7">
        <v>4800</v>
      </c>
      <c r="F7">
        <v>2700</v>
      </c>
    </row>
    <row r="8" spans="1:6" x14ac:dyDescent="0.25">
      <c r="A8" t="s">
        <v>287</v>
      </c>
      <c r="B8" t="s">
        <v>31</v>
      </c>
      <c r="C8" t="s">
        <v>278</v>
      </c>
      <c r="D8" t="s">
        <v>279</v>
      </c>
      <c r="E8">
        <v>29500</v>
      </c>
      <c r="F8">
        <v>20000</v>
      </c>
    </row>
    <row r="9" spans="1:6" x14ac:dyDescent="0.25">
      <c r="A9" t="s">
        <v>288</v>
      </c>
      <c r="B9" t="s">
        <v>72</v>
      </c>
      <c r="C9" t="s">
        <v>281</v>
      </c>
      <c r="D9" t="s">
        <v>282</v>
      </c>
      <c r="E9">
        <v>45000</v>
      </c>
      <c r="F9">
        <v>30000</v>
      </c>
    </row>
    <row r="10" spans="1:6" x14ac:dyDescent="0.25">
      <c r="A10" t="s">
        <v>289</v>
      </c>
      <c r="B10" t="s">
        <v>64</v>
      </c>
      <c r="C10" t="s">
        <v>275</v>
      </c>
      <c r="D10" t="s">
        <v>290</v>
      </c>
      <c r="E10">
        <v>18500</v>
      </c>
      <c r="F10">
        <v>12500</v>
      </c>
    </row>
    <row r="11" spans="1:6" x14ac:dyDescent="0.25">
      <c r="A11" t="s">
        <v>291</v>
      </c>
      <c r="B11" t="s">
        <v>60</v>
      </c>
      <c r="C11" t="s">
        <v>292</v>
      </c>
      <c r="D11" t="s">
        <v>293</v>
      </c>
      <c r="E11">
        <v>8500</v>
      </c>
      <c r="F11">
        <v>4800</v>
      </c>
    </row>
    <row r="12" spans="1:6" x14ac:dyDescent="0.25">
      <c r="A12" t="s">
        <v>294</v>
      </c>
      <c r="B12" t="s">
        <v>50</v>
      </c>
      <c r="C12" t="s">
        <v>292</v>
      </c>
      <c r="D12" t="s">
        <v>290</v>
      </c>
      <c r="E12">
        <v>32000</v>
      </c>
      <c r="F12">
        <v>21000</v>
      </c>
    </row>
    <row r="13" spans="1:6" x14ac:dyDescent="0.25">
      <c r="A13" t="s">
        <v>295</v>
      </c>
      <c r="B13" t="s">
        <v>17</v>
      </c>
      <c r="C13" t="s">
        <v>281</v>
      </c>
      <c r="D13" t="s">
        <v>282</v>
      </c>
      <c r="E13">
        <v>15000</v>
      </c>
      <c r="F13">
        <v>9500</v>
      </c>
    </row>
    <row r="14" spans="1:6" x14ac:dyDescent="0.25">
      <c r="A14" t="s">
        <v>296</v>
      </c>
      <c r="B14" t="s">
        <v>43</v>
      </c>
      <c r="C14" t="s">
        <v>278</v>
      </c>
      <c r="D14" t="s">
        <v>285</v>
      </c>
      <c r="E14">
        <v>6200</v>
      </c>
      <c r="F14">
        <v>3800</v>
      </c>
    </row>
    <row r="15" spans="1:6" x14ac:dyDescent="0.25">
      <c r="A15" t="s">
        <v>297</v>
      </c>
      <c r="B15" t="s">
        <v>36</v>
      </c>
      <c r="C15" t="s">
        <v>278</v>
      </c>
      <c r="D15" t="s">
        <v>279</v>
      </c>
      <c r="E15">
        <v>3100</v>
      </c>
      <c r="F15">
        <v>1800</v>
      </c>
    </row>
    <row r="16" spans="1:6" x14ac:dyDescent="0.25">
      <c r="A16" t="s">
        <v>298</v>
      </c>
      <c r="B16" t="s">
        <v>34</v>
      </c>
      <c r="C16" t="s">
        <v>281</v>
      </c>
      <c r="D16" t="s">
        <v>282</v>
      </c>
      <c r="E16">
        <v>22000</v>
      </c>
      <c r="F16">
        <v>14000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05B4F-DF23-4747-BF29-E4715D473A0F}">
  <sheetPr codeName="Hoja3"/>
  <dimension ref="B4:J8"/>
  <sheetViews>
    <sheetView workbookViewId="0">
      <selection activeCell="J8" sqref="I4:J8"/>
    </sheetView>
  </sheetViews>
  <sheetFormatPr baseColWidth="10" defaultRowHeight="15" x14ac:dyDescent="0.25"/>
  <cols>
    <col min="2" max="2" width="11.140625" bestFit="1" customWidth="1"/>
    <col min="3" max="3" width="16.42578125" bestFit="1" customWidth="1"/>
    <col min="6" max="6" width="15.42578125" bestFit="1" customWidth="1"/>
    <col min="7" max="7" width="14.140625" bestFit="1" customWidth="1"/>
    <col min="9" max="9" width="13.140625" bestFit="1" customWidth="1"/>
    <col min="10" max="10" width="14.140625" bestFit="1" customWidth="1"/>
  </cols>
  <sheetData>
    <row r="4" spans="2:10" x14ac:dyDescent="0.25">
      <c r="B4" s="7" t="s">
        <v>2</v>
      </c>
      <c r="C4" s="7" t="s">
        <v>306</v>
      </c>
      <c r="F4" s="17" t="s">
        <v>312</v>
      </c>
      <c r="G4" s="18" t="s">
        <v>313</v>
      </c>
      <c r="I4" s="15" t="s">
        <v>312</v>
      </c>
      <c r="J4" s="18" t="s">
        <v>313</v>
      </c>
    </row>
    <row r="5" spans="2:10" x14ac:dyDescent="0.25">
      <c r="B5" t="s">
        <v>305</v>
      </c>
      <c r="C5" s="8" cm="1">
        <f t="array" ref="C5">SUM(_xlfn.IFS(ventas_raw_200!$I$2:$I$201=B5,ventas_raw_200!$O$2:$O$201*ventas_raw_200!$G$2:$G$201,TRUE,0))</f>
        <v>8339700</v>
      </c>
      <c r="F5" s="20" t="s">
        <v>275</v>
      </c>
      <c r="G5" s="16">
        <v>4607400</v>
      </c>
      <c r="I5" s="19" t="s">
        <v>305</v>
      </c>
      <c r="J5" s="16">
        <v>8339700</v>
      </c>
    </row>
    <row r="6" spans="2:10" x14ac:dyDescent="0.25">
      <c r="B6" t="s">
        <v>19</v>
      </c>
      <c r="C6" s="8" cm="1">
        <f t="array" ref="C6">SUM(_xlfn.IFS(ventas_raw_200!$I$2:$I$201=B6,ventas_raw_200!$O$2:$O$201*ventas_raw_200!$G$2:$G$201,TRUE,0))</f>
        <v>13394400</v>
      </c>
      <c r="F6" s="20" t="s">
        <v>292</v>
      </c>
      <c r="G6" s="16">
        <v>6317500</v>
      </c>
      <c r="I6" s="19" t="s">
        <v>25</v>
      </c>
      <c r="J6" s="16">
        <v>6499100</v>
      </c>
    </row>
    <row r="7" spans="2:10" x14ac:dyDescent="0.25">
      <c r="B7" t="s">
        <v>13</v>
      </c>
      <c r="C7" s="8" cm="1">
        <f t="array" ref="C7">SUM(_xlfn.IFS(ventas_raw_200!$I$2:$I$201=B7,ventas_raw_200!$O$2:$O$201*ventas_raw_200!$G$2:$G$201,TRUE,0))</f>
        <v>12305400</v>
      </c>
      <c r="F7" s="20" t="s">
        <v>278</v>
      </c>
      <c r="G7" s="16">
        <v>9850700</v>
      </c>
      <c r="I7" s="19" t="s">
        <v>13</v>
      </c>
      <c r="J7" s="16">
        <v>12305400</v>
      </c>
    </row>
    <row r="8" spans="2:10" x14ac:dyDescent="0.25">
      <c r="B8" t="s">
        <v>25</v>
      </c>
      <c r="C8" s="8" cm="1">
        <f t="array" ref="C8">SUM(_xlfn.IFS(ventas_raw_200!$I$2:$I$201=B8,ventas_raw_200!$O$2:$O$201*ventas_raw_200!$G$2:$G$201,TRUE,0))</f>
        <v>6499100</v>
      </c>
      <c r="F8" s="20" t="s">
        <v>281</v>
      </c>
      <c r="G8" s="16">
        <v>19763000</v>
      </c>
      <c r="I8" s="19" t="s">
        <v>19</v>
      </c>
      <c r="J8" s="16">
        <v>13394400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47B26-BCCB-4456-B41A-0374BC57DABF}">
  <dimension ref="B1:C32"/>
  <sheetViews>
    <sheetView workbookViewId="0">
      <selection activeCell="F15" sqref="F15"/>
    </sheetView>
  </sheetViews>
  <sheetFormatPr baseColWidth="10" defaultRowHeight="15" x14ac:dyDescent="0.25"/>
  <cols>
    <col min="1" max="1" width="11.42578125" style="9"/>
    <col min="2" max="2" width="46.7109375" style="9" bestFit="1" customWidth="1"/>
    <col min="3" max="3" width="23.5703125" style="9" bestFit="1" customWidth="1"/>
    <col min="4" max="13" width="11.42578125" style="9"/>
    <col min="14" max="14" width="17.28515625" style="9" bestFit="1" customWidth="1"/>
    <col min="15" max="15" width="19.42578125" style="9" bestFit="1" customWidth="1"/>
    <col min="16" max="16384" width="11.42578125" style="9"/>
  </cols>
  <sheetData>
    <row r="1" spans="2:3" ht="21.75" customHeight="1" x14ac:dyDescent="0.25"/>
    <row r="2" spans="2:3" ht="21.75" customHeight="1" thickBot="1" x14ac:dyDescent="0.3"/>
    <row r="3" spans="2:3" ht="21.75" customHeight="1" thickBot="1" x14ac:dyDescent="0.3">
      <c r="B3" s="10" t="s">
        <v>311</v>
      </c>
      <c r="C3" s="14">
        <f>SUM(Reporte_consolidado!C5:C8)</f>
        <v>40538600</v>
      </c>
    </row>
    <row r="4" spans="2:3" ht="21.75" customHeight="1" thickBot="1" x14ac:dyDescent="0.3">
      <c r="B4" s="10" t="s">
        <v>307</v>
      </c>
      <c r="C4" s="14">
        <f>SUM(ventas_raw_200[Ganancia])</f>
        <v>14226200</v>
      </c>
    </row>
    <row r="5" spans="2:3" ht="21.75" customHeight="1" thickBot="1" x14ac:dyDescent="0.3">
      <c r="B5" s="10" t="s">
        <v>308</v>
      </c>
      <c r="C5" s="11">
        <f>AVERAGE(C4/C3)</f>
        <v>0.35092973116979864</v>
      </c>
    </row>
    <row r="6" spans="2:3" ht="21.75" customHeight="1" x14ac:dyDescent="0.25"/>
    <row r="7" spans="2:3" ht="21.75" customHeight="1" x14ac:dyDescent="0.25"/>
    <row r="8" spans="2:3" ht="21.75" customHeight="1" x14ac:dyDescent="0.25"/>
    <row r="9" spans="2:3" ht="21.75" customHeight="1" x14ac:dyDescent="0.25"/>
    <row r="10" spans="2:3" ht="21.75" customHeight="1" x14ac:dyDescent="0.25"/>
    <row r="11" spans="2:3" ht="21.75" customHeight="1" x14ac:dyDescent="0.25"/>
    <row r="12" spans="2:3" ht="21.75" customHeight="1" x14ac:dyDescent="0.25"/>
    <row r="13" spans="2:3" ht="21.75" customHeight="1" x14ac:dyDescent="0.25"/>
    <row r="14" spans="2:3" ht="21.75" customHeight="1" x14ac:dyDescent="0.25"/>
    <row r="15" spans="2:3" ht="21.75" customHeight="1" x14ac:dyDescent="0.25"/>
    <row r="16" spans="2:3" ht="21.75" customHeight="1" x14ac:dyDescent="0.25"/>
    <row r="17" ht="21.75" customHeight="1" x14ac:dyDescent="0.25"/>
    <row r="18" ht="21.75" customHeight="1" x14ac:dyDescent="0.25"/>
    <row r="19" ht="21.75" customHeight="1" x14ac:dyDescent="0.25"/>
    <row r="20" ht="21.75" customHeight="1" x14ac:dyDescent="0.25"/>
    <row r="21" ht="21.75" customHeight="1" x14ac:dyDescent="0.25"/>
    <row r="22" ht="21.75" customHeight="1" x14ac:dyDescent="0.25"/>
    <row r="23" ht="21.75" customHeight="1" x14ac:dyDescent="0.25"/>
    <row r="24" ht="21.75" customHeight="1" x14ac:dyDescent="0.25"/>
    <row r="25" ht="21.75" customHeight="1" x14ac:dyDescent="0.25"/>
    <row r="26" ht="21.75" customHeight="1" x14ac:dyDescent="0.25"/>
    <row r="27" ht="21.75" customHeight="1" x14ac:dyDescent="0.25"/>
    <row r="28" ht="21.75" customHeight="1" x14ac:dyDescent="0.25"/>
    <row r="29" ht="21.75" customHeight="1" x14ac:dyDescent="0.25"/>
    <row r="30" ht="21.75" customHeight="1" x14ac:dyDescent="0.25"/>
    <row r="31" ht="21.75" customHeight="1" x14ac:dyDescent="0.25"/>
    <row r="32" ht="21.75" customHeight="1" x14ac:dyDescent="0.25"/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A7F8E"/>
  </sheetPr>
  <dimension ref="B1:W135"/>
  <sheetViews>
    <sheetView showGridLines="0" tabSelected="1" zoomScale="90" workbookViewId="0">
      <pane ySplit="4" topLeftCell="A88" activePane="bottomLeft" state="frozen"/>
      <selection pane="bottomLeft" activeCell="P3" sqref="P3"/>
    </sheetView>
  </sheetViews>
  <sheetFormatPr baseColWidth="10" defaultColWidth="9.140625" defaultRowHeight="15" x14ac:dyDescent="0.25"/>
  <cols>
    <col min="1" max="1" width="2" customWidth="1"/>
    <col min="2" max="2" width="31" customWidth="1"/>
    <col min="3" max="13" width="13.42578125" customWidth="1"/>
    <col min="14" max="15" width="3" customWidth="1"/>
    <col min="16" max="16" width="30" customWidth="1"/>
    <col min="17" max="26" width="14" customWidth="1"/>
  </cols>
  <sheetData>
    <row r="1" spans="2:22" ht="32.1" customHeight="1" x14ac:dyDescent="0.25">
      <c r="B1" s="82" t="s">
        <v>314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P1" s="21" t="s">
        <v>315</v>
      </c>
    </row>
    <row r="2" spans="2:22" ht="26.1" customHeight="1" x14ac:dyDescent="0.25">
      <c r="B2" s="91" t="s">
        <v>316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P2" s="22" t="s">
        <v>317</v>
      </c>
      <c r="Q2" s="22" t="s">
        <v>318</v>
      </c>
    </row>
    <row r="3" spans="2:22" x14ac:dyDescent="0.25">
      <c r="P3" s="23" t="s">
        <v>319</v>
      </c>
      <c r="Q3" s="23" t="s">
        <v>320</v>
      </c>
    </row>
    <row r="4" spans="2:22" ht="21.95" customHeight="1" x14ac:dyDescent="0.25">
      <c r="B4" s="24" t="s">
        <v>321</v>
      </c>
      <c r="C4" s="25" t="s">
        <v>319</v>
      </c>
      <c r="E4" s="24" t="s">
        <v>322</v>
      </c>
      <c r="F4" s="25" t="s">
        <v>320</v>
      </c>
      <c r="H4" s="73" t="s">
        <v>323</v>
      </c>
      <c r="I4" s="72"/>
      <c r="J4" s="72"/>
      <c r="K4" s="72"/>
      <c r="L4" s="72"/>
      <c r="M4" s="72"/>
      <c r="P4" s="23" t="s">
        <v>305</v>
      </c>
      <c r="Q4" s="23" t="s">
        <v>324</v>
      </c>
    </row>
    <row r="5" spans="2:22" x14ac:dyDescent="0.25">
      <c r="P5" s="23" t="s">
        <v>25</v>
      </c>
      <c r="Q5" s="23" t="s">
        <v>325</v>
      </c>
    </row>
    <row r="6" spans="2:22" ht="18" customHeight="1" x14ac:dyDescent="0.25">
      <c r="B6" s="78" t="s">
        <v>326</v>
      </c>
      <c r="C6" s="79"/>
      <c r="D6" s="79"/>
      <c r="E6" s="78" t="s">
        <v>327</v>
      </c>
      <c r="F6" s="79"/>
      <c r="G6" s="79"/>
      <c r="H6" s="78" t="s">
        <v>328</v>
      </c>
      <c r="I6" s="79"/>
      <c r="J6" s="79"/>
      <c r="K6" s="78" t="s">
        <v>329</v>
      </c>
      <c r="L6" s="79"/>
      <c r="M6" s="79"/>
      <c r="P6" s="23" t="s">
        <v>13</v>
      </c>
      <c r="Q6" s="23" t="s">
        <v>330</v>
      </c>
    </row>
    <row r="7" spans="2:22" ht="30" customHeight="1" x14ac:dyDescent="0.25">
      <c r="B7" s="77">
        <f>SUMPRODUCT((($C$4="Todas")+(ventas_raw_200[Sucursal_limpio]=$C$4)&gt;0)*(($Q$8=0)+(MONTH(ventas_raw_200[Fecha])=$Q$8)&gt;0)*ventas_raw_200[Total_Venta])</f>
        <v>40538600</v>
      </c>
      <c r="C7" s="72"/>
      <c r="D7" s="72"/>
      <c r="E7" s="77">
        <f>SUMPRODUCT((($C$4="Todas")+(ventas_raw_200[Sucursal_limpio]=$C$4)&gt;0)*(($Q$8=0)+(MONTH(ventas_raw_200[Fecha])=$Q$8)&gt;0)*ventas_raw_200[Ganancia])</f>
        <v>14226200</v>
      </c>
      <c r="F7" s="72"/>
      <c r="G7" s="72"/>
      <c r="H7" s="83">
        <f>IFERROR(E7/B7,0)</f>
        <v>0.35092973116979864</v>
      </c>
      <c r="I7" s="72"/>
      <c r="J7" s="72"/>
      <c r="K7" s="77">
        <f>SUMPRODUCT((($C$4="Todas")+(ventas_raw_200[Sucursal_limpio]=$C$4)&gt;0)*(($Q$8=0)+(MONTH(ventas_raw_200[Fecha])=$Q$8)&gt;0)*ventas_raw_200[Comision])</f>
        <v>1392822</v>
      </c>
      <c r="L7" s="72"/>
      <c r="M7" s="72"/>
      <c r="P7" s="23" t="s">
        <v>19</v>
      </c>
    </row>
    <row r="8" spans="2:22" ht="18" customHeight="1" x14ac:dyDescent="0.25">
      <c r="B8" s="76" t="s">
        <v>331</v>
      </c>
      <c r="C8" s="72"/>
      <c r="D8" s="26">
        <f>IFERROR(B7/SUM(ventas_raw_200[Total_Venta]),0)</f>
        <v>1</v>
      </c>
      <c r="E8" s="76" t="s">
        <v>332</v>
      </c>
      <c r="F8" s="72"/>
      <c r="G8" s="26">
        <f>IFERROR(E7/B7,0)</f>
        <v>0.35092973116979864</v>
      </c>
      <c r="H8" s="76" t="s">
        <v>333</v>
      </c>
      <c r="I8" s="72"/>
      <c r="J8" s="26">
        <f>SUM(ventas_raw_200[Ganancia])/SUM(ventas_raw_200[Total_Venta])</f>
        <v>0.35092973116979864</v>
      </c>
      <c r="K8" s="76" t="s">
        <v>334</v>
      </c>
      <c r="L8" s="72"/>
      <c r="M8" s="26">
        <f>IFERROR(K7/B7,0)</f>
        <v>3.4357920599132681E-2</v>
      </c>
      <c r="P8" s="23" t="s">
        <v>335</v>
      </c>
      <c r="Q8" s="23">
        <f>IFERROR(MATCH($F$4,$Q$4:$Q$6,0),0)</f>
        <v>0</v>
      </c>
    </row>
    <row r="9" spans="2:22" x14ac:dyDescent="0.25">
      <c r="P9" s="23" t="s">
        <v>336</v>
      </c>
      <c r="Q9" s="23">
        <f>IF($Q$8=0,MAX(ventas_raw_200[Fecha])-MIN(ventas_raw_200[Fecha])+1,DAY(EOMONTH(DATE(YEAR(MIN(ventas_raw_200[Fecha])),$Q$8,1),0)))</f>
        <v>90</v>
      </c>
    </row>
    <row r="10" spans="2:22" ht="18" customHeight="1" x14ac:dyDescent="0.25">
      <c r="B10" s="78" t="s">
        <v>337</v>
      </c>
      <c r="C10" s="79"/>
      <c r="D10" s="79"/>
      <c r="E10" s="78" t="s">
        <v>338</v>
      </c>
      <c r="F10" s="79"/>
      <c r="G10" s="79"/>
      <c r="H10" s="78" t="s">
        <v>339</v>
      </c>
      <c r="I10" s="79"/>
      <c r="J10" s="79"/>
      <c r="K10" s="78" t="s">
        <v>340</v>
      </c>
      <c r="L10" s="79"/>
      <c r="M10" s="79"/>
    </row>
    <row r="11" spans="2:22" ht="30" customHeight="1" x14ac:dyDescent="0.25">
      <c r="B11" s="77">
        <f>E7-K7</f>
        <v>12833378</v>
      </c>
      <c r="C11" s="72"/>
      <c r="D11" s="72"/>
      <c r="E11" s="77">
        <f>SUMPRODUCT((($C$4="Todas")+(ventas_raw_200[Sucursal_limpio]=$C$4)&gt;0)*(($Q$8=0)+(MONTH(ventas_raw_200[Fecha])=$Q$8)&gt;0))</f>
        <v>200</v>
      </c>
      <c r="F11" s="72"/>
      <c r="G11" s="72"/>
      <c r="H11" s="77">
        <f>IFERROR(B7/E11,0)</f>
        <v>202693</v>
      </c>
      <c r="I11" s="72"/>
      <c r="J11" s="72"/>
      <c r="K11" s="77">
        <f>SUMPRODUCT((($C$4="Todas")+(ventas_raw_200[Sucursal_limpio]=$C$4)&gt;0)*(($Q$8=0)+(MONTH(ventas_raw_200[Fecha])=$Q$8)&gt;0)*ventas_raw_200[Cantidad_Auditada])</f>
        <v>2288</v>
      </c>
      <c r="L11" s="72"/>
      <c r="M11" s="72"/>
      <c r="P11" s="27" t="s">
        <v>341</v>
      </c>
      <c r="Q11" s="27" t="s">
        <v>342</v>
      </c>
      <c r="R11" s="27" t="s">
        <v>343</v>
      </c>
      <c r="S11" s="27" t="s">
        <v>344</v>
      </c>
      <c r="T11" s="27" t="s">
        <v>345</v>
      </c>
      <c r="U11" s="27" t="s">
        <v>346</v>
      </c>
      <c r="V11" s="27" t="s">
        <v>347</v>
      </c>
    </row>
    <row r="12" spans="2:22" ht="18" customHeight="1" x14ac:dyDescent="0.25">
      <c r="B12" s="76" t="s">
        <v>334</v>
      </c>
      <c r="C12" s="72"/>
      <c r="D12" s="26">
        <f>IFERROR(B11/B7,0)</f>
        <v>0.31657181057066597</v>
      </c>
      <c r="E12" s="76" t="s">
        <v>348</v>
      </c>
      <c r="F12" s="72"/>
      <c r="G12" s="28">
        <f>IFERROR(E11/$Q$9,0)</f>
        <v>2.2222222222222223</v>
      </c>
      <c r="H12" s="76" t="s">
        <v>346</v>
      </c>
      <c r="I12" s="72"/>
      <c r="J12" s="29">
        <f>IFERROR(B7/$Q$9,0)</f>
        <v>450428.88888888888</v>
      </c>
      <c r="K12" s="76" t="s">
        <v>349</v>
      </c>
      <c r="L12" s="72"/>
      <c r="M12" s="28">
        <f>IFERROR(K11/E11,0)</f>
        <v>11.44</v>
      </c>
      <c r="P12" s="23" t="s">
        <v>350</v>
      </c>
      <c r="Q12" s="30">
        <f>MIN(ventas_raw_200[Fecha])-WEEKDAY(MIN(ventas_raw_200[Fecha]),2)+1</f>
        <v>46020</v>
      </c>
      <c r="R12" s="30">
        <f t="shared" ref="R12:R25" si="0">Q12+6</f>
        <v>46026</v>
      </c>
      <c r="S12" s="23">
        <f>MAX(0,MIN(R12,MAX(ventas_raw_200[Fecha]))-MAX(Q12,MIN(ventas_raw_200[Fecha]))+1)</f>
        <v>4</v>
      </c>
      <c r="T12" s="31">
        <f>SUMPRODUCT((($C$4="Todas")+(ventas_raw_200[Sucursal_limpio]=$C$4)&gt;0)*(ventas_raw_200[Fecha]&gt;=Q12)*(ventas_raw_200[Fecha]&lt;=R12)*ventas_raw_200[Total_Venta])</f>
        <v>3365800</v>
      </c>
      <c r="U12" s="31">
        <f t="shared" ref="U12:U25" si="1">IFERROR(T12/S12,0)</f>
        <v>841450</v>
      </c>
      <c r="V12" s="31">
        <f>IFERROR(SUM(T12:T12)/SUM(S12:S12),0)</f>
        <v>841450</v>
      </c>
    </row>
    <row r="13" spans="2:22" x14ac:dyDescent="0.25">
      <c r="P13" s="23" t="s">
        <v>351</v>
      </c>
      <c r="Q13" s="30">
        <f t="shared" ref="Q13:Q25" si="2">Q12+7</f>
        <v>46027</v>
      </c>
      <c r="R13" s="30">
        <f t="shared" si="0"/>
        <v>46033</v>
      </c>
      <c r="S13" s="23">
        <f>MAX(0,MIN(R13,MAX(ventas_raw_200[Fecha]))-MAX(Q13,MIN(ventas_raw_200[Fecha]))+1)</f>
        <v>7</v>
      </c>
      <c r="T13" s="31">
        <f>SUMPRODUCT((($C$4="Todas")+(ventas_raw_200[Sucursal_limpio]=$C$4)&gt;0)*(ventas_raw_200[Fecha]&gt;=Q13)*(ventas_raw_200[Fecha]&lt;=R13)*ventas_raw_200[Total_Venta])</f>
        <v>3718200</v>
      </c>
      <c r="U13" s="31">
        <f t="shared" si="1"/>
        <v>531171.42857142852</v>
      </c>
      <c r="V13" s="31">
        <f>IFERROR(SUM(T12:T13)/SUM(S12:S13),0)</f>
        <v>644000</v>
      </c>
    </row>
    <row r="14" spans="2:22" ht="21.95" customHeight="1" x14ac:dyDescent="0.25">
      <c r="B14" s="69" t="s">
        <v>352</v>
      </c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P14" s="23" t="s">
        <v>353</v>
      </c>
      <c r="Q14" s="30">
        <f t="shared" si="2"/>
        <v>46034</v>
      </c>
      <c r="R14" s="30">
        <f t="shared" si="0"/>
        <v>46040</v>
      </c>
      <c r="S14" s="23">
        <f>MAX(0,MIN(R14,MAX(ventas_raw_200[Fecha]))-MAX(Q14,MIN(ventas_raw_200[Fecha]))+1)</f>
        <v>7</v>
      </c>
      <c r="T14" s="31">
        <f>SUMPRODUCT((($C$4="Todas")+(ventas_raw_200[Sucursal_limpio]=$C$4)&gt;0)*(ventas_raw_200[Fecha]&gt;=Q14)*(ventas_raw_200[Fecha]&lt;=R14)*ventas_raw_200[Total_Venta])</f>
        <v>2723600</v>
      </c>
      <c r="U14" s="31">
        <f t="shared" si="1"/>
        <v>389085.71428571426</v>
      </c>
      <c r="V14" s="31">
        <f t="shared" ref="V14:V25" si="3">IFERROR(SUM(T12:T14)/SUM(S12:S14),0)</f>
        <v>544866.66666666663</v>
      </c>
    </row>
    <row r="15" spans="2:22" x14ac:dyDescent="0.25">
      <c r="B15" s="32" t="s">
        <v>354</v>
      </c>
      <c r="P15" s="23" t="s">
        <v>355</v>
      </c>
      <c r="Q15" s="30">
        <f t="shared" si="2"/>
        <v>46041</v>
      </c>
      <c r="R15" s="30">
        <f t="shared" si="0"/>
        <v>46047</v>
      </c>
      <c r="S15" s="23">
        <f>MAX(0,MIN(R15,MAX(ventas_raw_200[Fecha]))-MAX(Q15,MIN(ventas_raw_200[Fecha]))+1)</f>
        <v>7</v>
      </c>
      <c r="T15" s="31">
        <f>SUMPRODUCT((($C$4="Todas")+(ventas_raw_200[Sucursal_limpio]=$C$4)&gt;0)*(ventas_raw_200[Fecha]&gt;=Q15)*(ventas_raw_200[Fecha]&lt;=R15)*ventas_raw_200[Total_Venta])</f>
        <v>1437400</v>
      </c>
      <c r="U15" s="31">
        <f t="shared" si="1"/>
        <v>205342.85714285713</v>
      </c>
      <c r="V15" s="31">
        <f t="shared" si="3"/>
        <v>375200</v>
      </c>
    </row>
    <row r="16" spans="2:22" ht="18" customHeight="1" x14ac:dyDescent="0.25">
      <c r="B16" s="75" t="s">
        <v>356</v>
      </c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P16" s="23" t="s">
        <v>357</v>
      </c>
      <c r="Q16" s="30">
        <f t="shared" si="2"/>
        <v>46048</v>
      </c>
      <c r="R16" s="30">
        <f t="shared" si="0"/>
        <v>46054</v>
      </c>
      <c r="S16" s="23">
        <f>MAX(0,MIN(R16,MAX(ventas_raw_200[Fecha]))-MAX(Q16,MIN(ventas_raw_200[Fecha]))+1)</f>
        <v>7</v>
      </c>
      <c r="T16" s="31">
        <f>SUMPRODUCT((($C$4="Todas")+(ventas_raw_200[Sucursal_limpio]=$C$4)&gt;0)*(ventas_raw_200[Fecha]&gt;=Q16)*(ventas_raw_200[Fecha]&lt;=R16)*ventas_raw_200[Total_Venta])</f>
        <v>4710800</v>
      </c>
      <c r="U16" s="31">
        <f t="shared" si="1"/>
        <v>672971.42857142852</v>
      </c>
      <c r="V16" s="31">
        <f t="shared" si="3"/>
        <v>422466.66666666669</v>
      </c>
    </row>
    <row r="17" spans="2:23" ht="27" customHeight="1" x14ac:dyDescent="0.25">
      <c r="B17" s="75" t="s">
        <v>358</v>
      </c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P17" s="23" t="s">
        <v>359</v>
      </c>
      <c r="Q17" s="30">
        <f t="shared" si="2"/>
        <v>46055</v>
      </c>
      <c r="R17" s="30">
        <f t="shared" si="0"/>
        <v>46061</v>
      </c>
      <c r="S17" s="23">
        <f>MAX(0,MIN(R17,MAX(ventas_raw_200[Fecha]))-MAX(Q17,MIN(ventas_raw_200[Fecha]))+1)</f>
        <v>7</v>
      </c>
      <c r="T17" s="31">
        <f>SUMPRODUCT((($C$4="Todas")+(ventas_raw_200[Sucursal_limpio]=$C$4)&gt;0)*(ventas_raw_200[Fecha]&gt;=Q17)*(ventas_raw_200[Fecha]&lt;=R17)*ventas_raw_200[Total_Venta])</f>
        <v>2730900</v>
      </c>
      <c r="U17" s="31">
        <f t="shared" si="1"/>
        <v>390128.57142857142</v>
      </c>
      <c r="V17" s="31">
        <f t="shared" si="3"/>
        <v>422814.28571428574</v>
      </c>
    </row>
    <row r="18" spans="2:23" ht="27" customHeight="1" x14ac:dyDescent="0.25">
      <c r="B18" s="75" t="s">
        <v>360</v>
      </c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P18" s="23" t="s">
        <v>361</v>
      </c>
      <c r="Q18" s="30">
        <f t="shared" si="2"/>
        <v>46062</v>
      </c>
      <c r="R18" s="30">
        <f t="shared" si="0"/>
        <v>46068</v>
      </c>
      <c r="S18" s="23">
        <f>MAX(0,MIN(R18,MAX(ventas_raw_200[Fecha]))-MAX(Q18,MIN(ventas_raw_200[Fecha]))+1)</f>
        <v>7</v>
      </c>
      <c r="T18" s="31">
        <f>SUMPRODUCT((($C$4="Todas")+(ventas_raw_200[Sucursal_limpio]=$C$4)&gt;0)*(ventas_raw_200[Fecha]&gt;=Q18)*(ventas_raw_200[Fecha]&lt;=R18)*ventas_raw_200[Total_Venta])</f>
        <v>2230700</v>
      </c>
      <c r="U18" s="31">
        <f t="shared" si="1"/>
        <v>318671.42857142858</v>
      </c>
      <c r="V18" s="31">
        <f t="shared" si="3"/>
        <v>460590.47619047621</v>
      </c>
    </row>
    <row r="19" spans="2:23" ht="27" customHeight="1" x14ac:dyDescent="0.25">
      <c r="B19" s="75" t="s">
        <v>362</v>
      </c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P19" s="23" t="s">
        <v>363</v>
      </c>
      <c r="Q19" s="30">
        <f t="shared" si="2"/>
        <v>46069</v>
      </c>
      <c r="R19" s="30">
        <f t="shared" si="0"/>
        <v>46075</v>
      </c>
      <c r="S19" s="23">
        <f>MAX(0,MIN(R19,MAX(ventas_raw_200[Fecha]))-MAX(Q19,MIN(ventas_raw_200[Fecha]))+1)</f>
        <v>7</v>
      </c>
      <c r="T19" s="31">
        <f>SUMPRODUCT((($C$4="Todas")+(ventas_raw_200[Sucursal_limpio]=$C$4)&gt;0)*(ventas_raw_200[Fecha]&gt;=Q19)*(ventas_raw_200[Fecha]&lt;=R19)*ventas_raw_200[Total_Venta])</f>
        <v>5803700</v>
      </c>
      <c r="U19" s="31">
        <f t="shared" si="1"/>
        <v>829100</v>
      </c>
      <c r="V19" s="31">
        <f t="shared" si="3"/>
        <v>512633.33333333331</v>
      </c>
    </row>
    <row r="20" spans="2:23" ht="27" customHeight="1" x14ac:dyDescent="0.25">
      <c r="B20" s="75" t="s">
        <v>364</v>
      </c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P20" s="23" t="s">
        <v>365</v>
      </c>
      <c r="Q20" s="30">
        <f t="shared" si="2"/>
        <v>46076</v>
      </c>
      <c r="R20" s="30">
        <f t="shared" si="0"/>
        <v>46082</v>
      </c>
      <c r="S20" s="23">
        <f>MAX(0,MIN(R20,MAX(ventas_raw_200[Fecha]))-MAX(Q20,MIN(ventas_raw_200[Fecha]))+1)</f>
        <v>7</v>
      </c>
      <c r="T20" s="31">
        <f>SUMPRODUCT((($C$4="Todas")+(ventas_raw_200[Sucursal_limpio]=$C$4)&gt;0)*(ventas_raw_200[Fecha]&gt;=Q20)*(ventas_raw_200[Fecha]&lt;=R20)*ventas_raw_200[Total_Venta])</f>
        <v>1859700</v>
      </c>
      <c r="U20" s="31">
        <f t="shared" si="1"/>
        <v>265671.42857142858</v>
      </c>
      <c r="V20" s="31">
        <f t="shared" si="3"/>
        <v>471147.61904761905</v>
      </c>
    </row>
    <row r="21" spans="2:23" ht="27" customHeight="1" x14ac:dyDescent="0.25">
      <c r="B21" s="75" t="s">
        <v>366</v>
      </c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P21" s="23" t="s">
        <v>367</v>
      </c>
      <c r="Q21" s="30">
        <f t="shared" si="2"/>
        <v>46083</v>
      </c>
      <c r="R21" s="30">
        <f t="shared" si="0"/>
        <v>46089</v>
      </c>
      <c r="S21" s="23">
        <f>MAX(0,MIN(R21,MAX(ventas_raw_200[Fecha]))-MAX(Q21,MIN(ventas_raw_200[Fecha]))+1)</f>
        <v>7</v>
      </c>
      <c r="T21" s="31">
        <f>SUMPRODUCT((($C$4="Todas")+(ventas_raw_200[Sucursal_limpio]=$C$4)&gt;0)*(ventas_raw_200[Fecha]&gt;=Q21)*(ventas_raw_200[Fecha]&lt;=R21)*ventas_raw_200[Total_Venta])</f>
        <v>4787400</v>
      </c>
      <c r="U21" s="31">
        <f t="shared" si="1"/>
        <v>683914.28571428568</v>
      </c>
      <c r="V21" s="31">
        <f t="shared" si="3"/>
        <v>592895.23809523811</v>
      </c>
    </row>
    <row r="22" spans="2:23" x14ac:dyDescent="0.25">
      <c r="P22" s="23" t="s">
        <v>368</v>
      </c>
      <c r="Q22" s="30">
        <f t="shared" si="2"/>
        <v>46090</v>
      </c>
      <c r="R22" s="30">
        <f t="shared" si="0"/>
        <v>46096</v>
      </c>
      <c r="S22" s="23">
        <f>MAX(0,MIN(R22,MAX(ventas_raw_200[Fecha]))-MAX(Q22,MIN(ventas_raw_200[Fecha]))+1)</f>
        <v>7</v>
      </c>
      <c r="T22" s="31">
        <f>SUMPRODUCT((($C$4="Todas")+(ventas_raw_200[Sucursal_limpio]=$C$4)&gt;0)*(ventas_raw_200[Fecha]&gt;=Q22)*(ventas_raw_200[Fecha]&lt;=R22)*ventas_raw_200[Total_Venta])</f>
        <v>1198400</v>
      </c>
      <c r="U22" s="31">
        <f t="shared" si="1"/>
        <v>171200</v>
      </c>
      <c r="V22" s="31">
        <f t="shared" si="3"/>
        <v>373595.23809523811</v>
      </c>
    </row>
    <row r="23" spans="2:23" ht="21.95" customHeight="1" x14ac:dyDescent="0.25">
      <c r="B23" s="69" t="s">
        <v>369</v>
      </c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P23" s="23" t="s">
        <v>370</v>
      </c>
      <c r="Q23" s="30">
        <f t="shared" si="2"/>
        <v>46097</v>
      </c>
      <c r="R23" s="30">
        <f t="shared" si="0"/>
        <v>46103</v>
      </c>
      <c r="S23" s="23">
        <f>MAX(0,MIN(R23,MAX(ventas_raw_200[Fecha]))-MAX(Q23,MIN(ventas_raw_200[Fecha]))+1)</f>
        <v>7</v>
      </c>
      <c r="T23" s="31">
        <f>SUMPRODUCT((($C$4="Todas")+(ventas_raw_200[Sucursal_limpio]=$C$4)&gt;0)*(ventas_raw_200[Fecha]&gt;=Q23)*(ventas_raw_200[Fecha]&lt;=R23)*ventas_raw_200[Total_Venta])</f>
        <v>2005000</v>
      </c>
      <c r="U23" s="31">
        <f t="shared" si="1"/>
        <v>286428.57142857142</v>
      </c>
      <c r="V23" s="31">
        <f t="shared" si="3"/>
        <v>380514.28571428574</v>
      </c>
    </row>
    <row r="24" spans="2:23" x14ac:dyDescent="0.25">
      <c r="B24" s="32" t="s">
        <v>371</v>
      </c>
      <c r="P24" s="23" t="s">
        <v>372</v>
      </c>
      <c r="Q24" s="30">
        <f t="shared" si="2"/>
        <v>46104</v>
      </c>
      <c r="R24" s="30">
        <f t="shared" si="0"/>
        <v>46110</v>
      </c>
      <c r="S24" s="23">
        <f>MAX(0,MIN(R24,MAX(ventas_raw_200[Fecha]))-MAX(Q24,MIN(ventas_raw_200[Fecha]))+1)</f>
        <v>7</v>
      </c>
      <c r="T24" s="31">
        <f>SUMPRODUCT((($C$4="Todas")+(ventas_raw_200[Sucursal_limpio]=$C$4)&gt;0)*(ventas_raw_200[Fecha]&gt;=Q24)*(ventas_raw_200[Fecha]&lt;=R24)*ventas_raw_200[Total_Venta])</f>
        <v>2598100</v>
      </c>
      <c r="U24" s="31">
        <f t="shared" si="1"/>
        <v>371157.14285714284</v>
      </c>
      <c r="V24" s="31">
        <f t="shared" si="3"/>
        <v>276261.90476190473</v>
      </c>
    </row>
    <row r="25" spans="2:23" ht="27.95" customHeight="1" x14ac:dyDescent="0.25">
      <c r="B25" s="33" t="s">
        <v>373</v>
      </c>
      <c r="C25" s="34" t="s">
        <v>374</v>
      </c>
      <c r="D25" s="34" t="s">
        <v>375</v>
      </c>
      <c r="E25" s="34" t="s">
        <v>345</v>
      </c>
      <c r="F25" s="34" t="s">
        <v>376</v>
      </c>
      <c r="G25" s="34" t="s">
        <v>346</v>
      </c>
      <c r="H25" s="34" t="s">
        <v>377</v>
      </c>
      <c r="I25" s="34" t="s">
        <v>378</v>
      </c>
      <c r="J25" s="34" t="s">
        <v>379</v>
      </c>
      <c r="P25" s="23" t="s">
        <v>380</v>
      </c>
      <c r="Q25" s="30">
        <f t="shared" si="2"/>
        <v>46111</v>
      </c>
      <c r="R25" s="30">
        <f t="shared" si="0"/>
        <v>46117</v>
      </c>
      <c r="S25" s="23">
        <f>MAX(0,MIN(R25,MAX(ventas_raw_200[Fecha]))-MAX(Q25,MIN(ventas_raw_200[Fecha]))+1)</f>
        <v>2</v>
      </c>
      <c r="T25" s="31">
        <f>SUMPRODUCT((($C$4="Todas")+(ventas_raw_200[Sucursal_limpio]=$C$4)&gt;0)*(ventas_raw_200[Fecha]&gt;=Q25)*(ventas_raw_200[Fecha]&lt;=R25)*ventas_raw_200[Total_Venta])</f>
        <v>1368900</v>
      </c>
      <c r="U25" s="31">
        <f t="shared" si="1"/>
        <v>684450</v>
      </c>
      <c r="V25" s="31">
        <f t="shared" si="3"/>
        <v>373250</v>
      </c>
    </row>
    <row r="26" spans="2:23" x14ac:dyDescent="0.25">
      <c r="B26" s="35" t="s">
        <v>324</v>
      </c>
      <c r="C26" s="36">
        <f>DAY(EOMONTH(DATE(YEAR(MIN(ventas_raw_200[Fecha])),1,1),0))</f>
        <v>31</v>
      </c>
      <c r="D26" s="36">
        <f>SUMPRODUCT((($C$4="Todas")+(ventas_raw_200[Sucursal_limpio]=$C$4)&gt;0)*(MONTH(ventas_raw_200[Fecha])=1))</f>
        <v>75</v>
      </c>
      <c r="E26" s="36">
        <f>SUMPRODUCT((($C$4="Todas")+(ventas_raw_200[Sucursal_limpio]=$C$4)&gt;0)*(MONTH(ventas_raw_200[Fecha])=1)*ventas_raw_200[Total_Venta])</f>
        <v>14647800</v>
      </c>
      <c r="F26" s="37"/>
      <c r="G26" s="36">
        <f>IFERROR(E26/C26,0)</f>
        <v>472509.67741935485</v>
      </c>
      <c r="H26" s="37"/>
      <c r="I26" s="36">
        <f>IFERROR(E26/D26,0)</f>
        <v>195304</v>
      </c>
      <c r="J26" s="38">
        <f>IFERROR(SUMPRODUCT((($C$4="Todas")+(ventas_raw_200[Sucursal_limpio]=$C$4)&gt;0)*(MONTH(ventas_raw_200[Fecha])=1)*ventas_raw_200[Ganancia])/E26,0)</f>
        <v>0.35025054957058399</v>
      </c>
    </row>
    <row r="27" spans="2:23" x14ac:dyDescent="0.25">
      <c r="B27" s="35" t="s">
        <v>325</v>
      </c>
      <c r="C27" s="36">
        <f>DAY(EOMONTH(DATE(YEAR(MIN(ventas_raw_200[Fecha])),2,1),0))</f>
        <v>28</v>
      </c>
      <c r="D27" s="36">
        <f>SUMPRODUCT((($C$4="Todas")+(ventas_raw_200[Sucursal_limpio]=$C$4)&gt;0)*(MONTH(ventas_raw_200[Fecha])=2))</f>
        <v>52</v>
      </c>
      <c r="E27" s="36">
        <f>SUMPRODUCT((($C$4="Todas")+(ventas_raw_200[Sucursal_limpio]=$C$4)&gt;0)*(MONTH(ventas_raw_200[Fecha])=2)*ventas_raw_200[Total_Venta])</f>
        <v>12898500</v>
      </c>
      <c r="F27" s="37">
        <f>IFERROR(E27/E26-1,0)</f>
        <v>-0.1194240773358457</v>
      </c>
      <c r="G27" s="36">
        <f>IFERROR(E27/C27,0)</f>
        <v>460660.71428571426</v>
      </c>
      <c r="H27" s="37">
        <f>IFERROR(G27/G26-1,0)</f>
        <v>-2.507665705040063E-2</v>
      </c>
      <c r="I27" s="36">
        <f>IFERROR(E27/D27,0)</f>
        <v>248048.07692307694</v>
      </c>
      <c r="J27" s="38">
        <f>IFERROR(SUMPRODUCT((($C$4="Todas")+(ventas_raw_200[Sucursal_limpio]=$C$4)&gt;0)*(MONTH(ventas_raw_200[Fecha])=2)*ventas_raw_200[Ganancia])/E27,0)</f>
        <v>0.35098654882350661</v>
      </c>
    </row>
    <row r="28" spans="2:23" x14ac:dyDescent="0.25">
      <c r="B28" s="35" t="s">
        <v>330</v>
      </c>
      <c r="C28" s="36">
        <f>DAY(EOMONTH(DATE(YEAR(MIN(ventas_raw_200[Fecha])),3,1),0))</f>
        <v>31</v>
      </c>
      <c r="D28" s="36">
        <f>SUMPRODUCT((($C$4="Todas")+(ventas_raw_200[Sucursal_limpio]=$C$4)&gt;0)*(MONTH(ventas_raw_200[Fecha])=3))</f>
        <v>73</v>
      </c>
      <c r="E28" s="36">
        <f>SUMPRODUCT((($C$4="Todas")+(ventas_raw_200[Sucursal_limpio]=$C$4)&gt;0)*(MONTH(ventas_raw_200[Fecha])=3)*ventas_raw_200[Total_Venta])</f>
        <v>12992300</v>
      </c>
      <c r="F28" s="37">
        <f>IFERROR(E28/E27-1,0)</f>
        <v>7.2721634298562599E-3</v>
      </c>
      <c r="G28" s="36">
        <f>IFERROR(E28/C28,0)</f>
        <v>419106.45161290321</v>
      </c>
      <c r="H28" s="37">
        <f>IFERROR(G28/G27-1,0)</f>
        <v>-9.0205787869807263E-2</v>
      </c>
      <c r="I28" s="36">
        <f>IFERROR(E28/D28,0)</f>
        <v>177976.71232876711</v>
      </c>
      <c r="J28" s="38">
        <f>IFERROR(SUMPRODUCT((($C$4="Todas")+(ventas_raw_200[Sucursal_limpio]=$C$4)&gt;0)*(MONTH(ventas_raw_200[Fecha])=3)*ventas_raw_200[Ganancia])/E28,0)</f>
        <v>0.35163904774366356</v>
      </c>
      <c r="P28" s="27" t="s">
        <v>381</v>
      </c>
      <c r="Q28" s="27" t="s">
        <v>382</v>
      </c>
      <c r="R28" s="27" t="s">
        <v>383</v>
      </c>
      <c r="S28" s="27" t="s">
        <v>384</v>
      </c>
      <c r="T28" s="27" t="s">
        <v>345</v>
      </c>
      <c r="U28" s="27" t="s">
        <v>303</v>
      </c>
      <c r="V28" s="27" t="s">
        <v>385</v>
      </c>
      <c r="W28" s="27" t="s">
        <v>386</v>
      </c>
    </row>
    <row r="29" spans="2:23" x14ac:dyDescent="0.25">
      <c r="B29" s="39" t="s">
        <v>387</v>
      </c>
      <c r="C29" s="40">
        <f>SUM(C26:C28)</f>
        <v>90</v>
      </c>
      <c r="D29" s="40">
        <f>SUM(D26:D28)</f>
        <v>200</v>
      </c>
      <c r="E29" s="40">
        <f>SUM(E26:E28)</f>
        <v>40538600</v>
      </c>
      <c r="F29" s="41"/>
      <c r="G29" s="40">
        <f>IFERROR(E29/C29,0)</f>
        <v>450428.88888888888</v>
      </c>
      <c r="H29" s="42">
        <f>IFERROR(G28/G26-1,0)</f>
        <v>-0.11302038531383563</v>
      </c>
      <c r="I29" s="40">
        <f>IFERROR(E29/D29,0)</f>
        <v>202693</v>
      </c>
      <c r="J29" s="43">
        <f>IFERROR(SUMPRODUCT((($C$4="Todas")+(ventas_raw_200[Sucursal_limpio]=$C$4)&gt;0)*ventas_raw_200[Ganancia])/E29,0)</f>
        <v>0.35092973116979864</v>
      </c>
      <c r="K29" s="44" t="s">
        <v>388</v>
      </c>
      <c r="P29" s="23" t="str">
        <f>maestro_productos_15!B2</f>
        <v>Yerba Mate Premium 1kg</v>
      </c>
      <c r="Q29" s="23" t="str">
        <f>maestro_productos_15!C2</f>
        <v>Alimentos</v>
      </c>
      <c r="R29" s="31">
        <f>maestro_productos_15!E2</f>
        <v>3800</v>
      </c>
      <c r="S29" s="31">
        <f>SUMPRODUCT((($C$4="Todas")+(ventas_raw_200[Sucursal_limpio]=$C$4)&gt;0)*(($Q$8=0)+(MONTH(ventas_raw_200[Fecha])=$Q$8)&gt;0)*(ventas_raw_200[Producto_limpio]=P29)*ventas_raw_200[Cantidad_Auditada])</f>
        <v>268</v>
      </c>
      <c r="T29" s="31">
        <f>SUMPRODUCT((($C$4="Todas")+(ventas_raw_200[Sucursal_limpio]=$C$4)&gt;0)*(($Q$8=0)+(MONTH(ventas_raw_200[Fecha])=$Q$8)&gt;0)*(ventas_raw_200[Producto_limpio]=P29)*ventas_raw_200[Total_Venta])</f>
        <v>1018400</v>
      </c>
      <c r="U29" s="31">
        <f>SUMPRODUCT((($C$4="Todas")+(ventas_raw_200[Sucursal_limpio]=$C$4)&gt;0)*(($Q$8=0)+(MONTH(ventas_raw_200[Fecha])=$Q$8)&gt;0)*(ventas_raw_200[Producto_limpio]=P29)*ventas_raw_200[Ganancia])</f>
        <v>348400</v>
      </c>
      <c r="V29" s="45">
        <f t="shared" ref="V29:V43" si="4">T29+(100-ROW())/1000</f>
        <v>1018400.071</v>
      </c>
    </row>
    <row r="30" spans="2:23" x14ac:dyDescent="0.25">
      <c r="P30" s="23" t="str">
        <f>maestro_productos_15!B3</f>
        <v>Alimento Perro Adulto 15kg</v>
      </c>
      <c r="Q30" s="23" t="str">
        <f>maestro_productos_15!C3</f>
        <v>Mascotas</v>
      </c>
      <c r="R30" s="31">
        <f>maestro_productos_15!E3</f>
        <v>35000</v>
      </c>
      <c r="S30" s="31">
        <f>SUMPRODUCT((($C$4="Todas")+(ventas_raw_200[Sucursal_limpio]=$C$4)&gt;0)*(($Q$8=0)+(MONTH(ventas_raw_200[Fecha])=$Q$8)&gt;0)*(ventas_raw_200[Producto_limpio]=P30)*ventas_raw_200[Cantidad_Auditada])</f>
        <v>85</v>
      </c>
      <c r="T30" s="31">
        <f>SUMPRODUCT((($C$4="Todas")+(ventas_raw_200[Sucursal_limpio]=$C$4)&gt;0)*(($Q$8=0)+(MONTH(ventas_raw_200[Fecha])=$Q$8)&gt;0)*(ventas_raw_200[Producto_limpio]=P30)*ventas_raw_200[Total_Venta])</f>
        <v>2975000</v>
      </c>
      <c r="U30" s="31">
        <f>SUMPRODUCT((($C$4="Todas")+(ventas_raw_200[Sucursal_limpio]=$C$4)&gt;0)*(($Q$8=0)+(MONTH(ventas_raw_200[Fecha])=$Q$8)&gt;0)*(ventas_raw_200[Producto_limpio]=P30)*ventas_raw_200[Ganancia])</f>
        <v>935000</v>
      </c>
      <c r="V30" s="45">
        <f t="shared" si="4"/>
        <v>2975000.07</v>
      </c>
    </row>
    <row r="31" spans="2:23" x14ac:dyDescent="0.25">
      <c r="P31" s="23" t="str">
        <f>maestro_productos_15!B4</f>
        <v>Auriculares Bluetooth Pro</v>
      </c>
      <c r="Q31" s="23" t="str">
        <f>maestro_productos_15!C4</f>
        <v>Tecnología</v>
      </c>
      <c r="R31" s="31">
        <f>maestro_productos_15!E4</f>
        <v>28000</v>
      </c>
      <c r="S31" s="31">
        <f>SUMPRODUCT((($C$4="Todas")+(ventas_raw_200[Sucursal_limpio]=$C$4)&gt;0)*(($Q$8=0)+(MONTH(ventas_raw_200[Fecha])=$Q$8)&gt;0)*(ventas_raw_200[Producto_limpio]=P31)*ventas_raw_200[Cantidad_Auditada])</f>
        <v>192</v>
      </c>
      <c r="T31" s="31">
        <f>SUMPRODUCT((($C$4="Todas")+(ventas_raw_200[Sucursal_limpio]=$C$4)&gt;0)*(($Q$8=0)+(MONTH(ventas_raw_200[Fecha])=$Q$8)&gt;0)*(ventas_raw_200[Producto_limpio]=P31)*ventas_raw_200[Total_Venta])</f>
        <v>5376000</v>
      </c>
      <c r="U31" s="31">
        <f>SUMPRODUCT((($C$4="Todas")+(ventas_raw_200[Sucursal_limpio]=$C$4)&gt;0)*(($Q$8=0)+(MONTH(ventas_raw_200[Fecha])=$Q$8)&gt;0)*(ventas_raw_200[Producto_limpio]=P31)*ventas_raw_200[Ganancia])</f>
        <v>1920000</v>
      </c>
      <c r="V31" s="45">
        <f t="shared" si="4"/>
        <v>5376000.0690000001</v>
      </c>
    </row>
    <row r="32" spans="2:23" x14ac:dyDescent="0.25">
      <c r="P32" s="23" t="str">
        <f>maestro_productos_15!B5</f>
        <v>Soporte Regulable Notebook</v>
      </c>
      <c r="Q32" s="23" t="str">
        <f>maestro_productos_15!C5</f>
        <v>Tecnología</v>
      </c>
      <c r="R32" s="31">
        <f>maestro_productos_15!E5</f>
        <v>19500</v>
      </c>
      <c r="S32" s="31">
        <f>SUMPRODUCT((($C$4="Todas")+(ventas_raw_200[Sucursal_limpio]=$C$4)&gt;0)*(($Q$8=0)+(MONTH(ventas_raw_200[Fecha])=$Q$8)&gt;0)*(ventas_raw_200[Producto_limpio]=P32)*ventas_raw_200[Cantidad_Auditada])</f>
        <v>146</v>
      </c>
      <c r="T32" s="31">
        <f>SUMPRODUCT((($C$4="Todas")+(ventas_raw_200[Sucursal_limpio]=$C$4)&gt;0)*(($Q$8=0)+(MONTH(ventas_raw_200[Fecha])=$Q$8)&gt;0)*(ventas_raw_200[Producto_limpio]=P32)*ventas_raw_200[Total_Venta])</f>
        <v>2847000</v>
      </c>
      <c r="U32" s="31">
        <f>SUMPRODUCT((($C$4="Todas")+(ventas_raw_200[Sucursal_limpio]=$C$4)&gt;0)*(($Q$8=0)+(MONTH(ventas_raw_200[Fecha])=$Q$8)&gt;0)*(ventas_raw_200[Producto_limpio]=P32)*ventas_raw_200[Ganancia])</f>
        <v>1095000</v>
      </c>
      <c r="V32" s="45">
        <f t="shared" si="4"/>
        <v>2847000.068</v>
      </c>
    </row>
    <row r="33" spans="2:22" x14ac:dyDescent="0.25">
      <c r="P33" s="23" t="str">
        <f>maestro_productos_15!B6</f>
        <v>Correa Reforzada Canina 3m</v>
      </c>
      <c r="Q33" s="23" t="str">
        <f>maestro_productos_15!C6</f>
        <v>Mascotas</v>
      </c>
      <c r="R33" s="31">
        <f>maestro_productos_15!E6</f>
        <v>9200</v>
      </c>
      <c r="S33" s="31">
        <f>SUMPRODUCT((($C$4="Todas")+(ventas_raw_200[Sucursal_limpio]=$C$4)&gt;0)*(($Q$8=0)+(MONTH(ventas_raw_200[Fecha])=$Q$8)&gt;0)*(ventas_raw_200[Producto_limpio]=P33)*ventas_raw_200[Cantidad_Auditada])</f>
        <v>138</v>
      </c>
      <c r="T33" s="31">
        <f>SUMPRODUCT((($C$4="Todas")+(ventas_raw_200[Sucursal_limpio]=$C$4)&gt;0)*(($Q$8=0)+(MONTH(ventas_raw_200[Fecha])=$Q$8)&gt;0)*(ventas_raw_200[Producto_limpio]=P33)*ventas_raw_200[Total_Venta])</f>
        <v>1269600</v>
      </c>
      <c r="U33" s="31">
        <f>SUMPRODUCT((($C$4="Todas")+(ventas_raw_200[Sucursal_limpio]=$C$4)&gt;0)*(($Q$8=0)+(MONTH(ventas_raw_200[Fecha])=$Q$8)&gt;0)*(ventas_raw_200[Producto_limpio]=P33)*ventas_raw_200[Ganancia])</f>
        <v>510600</v>
      </c>
      <c r="V33" s="45">
        <f t="shared" si="4"/>
        <v>1269600.067</v>
      </c>
    </row>
    <row r="34" spans="2:22" x14ac:dyDescent="0.25">
      <c r="P34" s="23" t="str">
        <f>maestro_productos_15!B7</f>
        <v>Juguete Mordillo Goma</v>
      </c>
      <c r="Q34" s="23" t="str">
        <f>maestro_productos_15!C7</f>
        <v>Mascotas</v>
      </c>
      <c r="R34" s="31">
        <f>maestro_productos_15!E7</f>
        <v>4800</v>
      </c>
      <c r="S34" s="31">
        <f>SUMPRODUCT((($C$4="Todas")+(ventas_raw_200[Sucursal_limpio]=$C$4)&gt;0)*(($Q$8=0)+(MONTH(ventas_raw_200[Fecha])=$Q$8)&gt;0)*(ventas_raw_200[Producto_limpio]=P34)*ventas_raw_200[Cantidad_Auditada])</f>
        <v>144</v>
      </c>
      <c r="T34" s="31">
        <f>SUMPRODUCT((($C$4="Todas")+(ventas_raw_200[Sucursal_limpio]=$C$4)&gt;0)*(($Q$8=0)+(MONTH(ventas_raw_200[Fecha])=$Q$8)&gt;0)*(ventas_raw_200[Producto_limpio]=P34)*ventas_raw_200[Total_Venta])</f>
        <v>691200</v>
      </c>
      <c r="U34" s="31">
        <f>SUMPRODUCT((($C$4="Todas")+(ventas_raw_200[Sucursal_limpio]=$C$4)&gt;0)*(($Q$8=0)+(MONTH(ventas_raw_200[Fecha])=$Q$8)&gt;0)*(ventas_raw_200[Producto_limpio]=P34)*ventas_raw_200[Ganancia])</f>
        <v>302400</v>
      </c>
      <c r="V34" s="45">
        <f t="shared" si="4"/>
        <v>691200.06599999999</v>
      </c>
    </row>
    <row r="35" spans="2:22" x14ac:dyDescent="0.25">
      <c r="P35" s="23" t="str">
        <f>maestro_productos_15!B8</f>
        <v>Alimento Gato Castrado 10kg</v>
      </c>
      <c r="Q35" s="23" t="str">
        <f>maestro_productos_15!C8</f>
        <v>Mascotas</v>
      </c>
      <c r="R35" s="31">
        <f>maestro_productos_15!E8</f>
        <v>29500</v>
      </c>
      <c r="S35" s="31">
        <f>SUMPRODUCT((($C$4="Todas")+(ventas_raw_200[Sucursal_limpio]=$C$4)&gt;0)*(($Q$8=0)+(MONTH(ventas_raw_200[Fecha])=$Q$8)&gt;0)*(ventas_raw_200[Producto_limpio]=P35)*ventas_raw_200[Cantidad_Auditada])</f>
        <v>121</v>
      </c>
      <c r="T35" s="31">
        <f>SUMPRODUCT((($C$4="Todas")+(ventas_raw_200[Sucursal_limpio]=$C$4)&gt;0)*(($Q$8=0)+(MONTH(ventas_raw_200[Fecha])=$Q$8)&gt;0)*(ventas_raw_200[Producto_limpio]=P35)*ventas_raw_200[Total_Venta])</f>
        <v>3569500</v>
      </c>
      <c r="U35" s="31">
        <f>SUMPRODUCT((($C$4="Todas")+(ventas_raw_200[Sucursal_limpio]=$C$4)&gt;0)*(($Q$8=0)+(MONTH(ventas_raw_200[Fecha])=$Q$8)&gt;0)*(ventas_raw_200[Producto_limpio]=P35)*ventas_raw_200[Ganancia])</f>
        <v>1149500</v>
      </c>
      <c r="V35" s="45">
        <f t="shared" si="4"/>
        <v>3569500.0649999999</v>
      </c>
    </row>
    <row r="36" spans="2:22" x14ac:dyDescent="0.25">
      <c r="P36" s="23" t="str">
        <f>maestro_productos_15!B9</f>
        <v>Teclado Mecánico RGB</v>
      </c>
      <c r="Q36" s="23" t="str">
        <f>maestro_productos_15!C9</f>
        <v>Tecnología</v>
      </c>
      <c r="R36" s="31">
        <f>maestro_productos_15!E9</f>
        <v>45000</v>
      </c>
      <c r="S36" s="31">
        <f>SUMPRODUCT((($C$4="Todas")+(ventas_raw_200[Sucursal_limpio]=$C$4)&gt;0)*(($Q$8=0)+(MONTH(ventas_raw_200[Fecha])=$Q$8)&gt;0)*(ventas_raw_200[Producto_limpio]=P36)*ventas_raw_200[Cantidad_Auditada])</f>
        <v>142</v>
      </c>
      <c r="T36" s="31">
        <f>SUMPRODUCT((($C$4="Todas")+(ventas_raw_200[Sucursal_limpio]=$C$4)&gt;0)*(($Q$8=0)+(MONTH(ventas_raw_200[Fecha])=$Q$8)&gt;0)*(ventas_raw_200[Producto_limpio]=P36)*ventas_raw_200[Total_Venta])</f>
        <v>6390000</v>
      </c>
      <c r="U36" s="31">
        <f>SUMPRODUCT((($C$4="Todas")+(ventas_raw_200[Sucursal_limpio]=$C$4)&gt;0)*(($Q$8=0)+(MONTH(ventas_raw_200[Fecha])=$Q$8)&gt;0)*(ventas_raw_200[Producto_limpio]=P36)*ventas_raw_200[Ganancia])</f>
        <v>2130000</v>
      </c>
      <c r="V36" s="45">
        <f t="shared" si="4"/>
        <v>6390000.0640000002</v>
      </c>
    </row>
    <row r="37" spans="2:22" x14ac:dyDescent="0.25">
      <c r="P37" s="23" t="str">
        <f>maestro_productos_15!B10</f>
        <v>Café en Grano Intenso 1kg</v>
      </c>
      <c r="Q37" s="23" t="str">
        <f>maestro_productos_15!C10</f>
        <v>Alimentos</v>
      </c>
      <c r="R37" s="31">
        <f>maestro_productos_15!E10</f>
        <v>18500</v>
      </c>
      <c r="S37" s="31">
        <f>SUMPRODUCT((($C$4="Todas")+(ventas_raw_200[Sucursal_limpio]=$C$4)&gt;0)*(($Q$8=0)+(MONTH(ventas_raw_200[Fecha])=$Q$8)&gt;0)*(ventas_raw_200[Producto_limpio]=P37)*ventas_raw_200[Cantidad_Auditada])</f>
        <v>194</v>
      </c>
      <c r="T37" s="31">
        <f>SUMPRODUCT((($C$4="Todas")+(ventas_raw_200[Sucursal_limpio]=$C$4)&gt;0)*(($Q$8=0)+(MONTH(ventas_raw_200[Fecha])=$Q$8)&gt;0)*(ventas_raw_200[Producto_limpio]=P37)*ventas_raw_200[Total_Venta])</f>
        <v>3589000</v>
      </c>
      <c r="U37" s="31">
        <f>SUMPRODUCT((($C$4="Todas")+(ventas_raw_200[Sucursal_limpio]=$C$4)&gt;0)*(($Q$8=0)+(MONTH(ventas_raw_200[Fecha])=$Q$8)&gt;0)*(ventas_raw_200[Producto_limpio]=P37)*ventas_raw_200[Ganancia])</f>
        <v>1164000</v>
      </c>
      <c r="V37" s="45">
        <f t="shared" si="4"/>
        <v>3589000.0630000001</v>
      </c>
    </row>
    <row r="38" spans="2:22" x14ac:dyDescent="0.25">
      <c r="P38" s="23" t="str">
        <f>maestro_productos_15!B11</f>
        <v>Mates de Madera Calada</v>
      </c>
      <c r="Q38" s="23" t="str">
        <f>maestro_productos_15!C11</f>
        <v>Bazar</v>
      </c>
      <c r="R38" s="31">
        <f>maestro_productos_15!E11</f>
        <v>8500</v>
      </c>
      <c r="S38" s="31">
        <f>SUMPRODUCT((($C$4="Todas")+(ventas_raw_200[Sucursal_limpio]=$C$4)&gt;0)*(($Q$8=0)+(MONTH(ventas_raw_200[Fecha])=$Q$8)&gt;0)*(ventas_raw_200[Producto_limpio]=P38)*ventas_raw_200[Cantidad_Auditada])</f>
        <v>107</v>
      </c>
      <c r="T38" s="31">
        <f>SUMPRODUCT((($C$4="Todas")+(ventas_raw_200[Sucursal_limpio]=$C$4)&gt;0)*(($Q$8=0)+(MONTH(ventas_raw_200[Fecha])=$Q$8)&gt;0)*(ventas_raw_200[Producto_limpio]=P38)*ventas_raw_200[Total_Venta])</f>
        <v>909500</v>
      </c>
      <c r="U38" s="31">
        <f>SUMPRODUCT((($C$4="Todas")+(ventas_raw_200[Sucursal_limpio]=$C$4)&gt;0)*(($Q$8=0)+(MONTH(ventas_raw_200[Fecha])=$Q$8)&gt;0)*(ventas_raw_200[Producto_limpio]=P38)*ventas_raw_200[Ganancia])</f>
        <v>395900</v>
      </c>
      <c r="V38" s="45">
        <f t="shared" si="4"/>
        <v>909500.06200000003</v>
      </c>
    </row>
    <row r="39" spans="2:22" x14ac:dyDescent="0.25">
      <c r="P39" s="23" t="str">
        <f>maestro_productos_15!B12</f>
        <v>Termo Acero Inoxidable 1.3L</v>
      </c>
      <c r="Q39" s="23" t="str">
        <f>maestro_productos_15!C12</f>
        <v>Bazar</v>
      </c>
      <c r="R39" s="31">
        <f>maestro_productos_15!E12</f>
        <v>32000</v>
      </c>
      <c r="S39" s="31">
        <f>SUMPRODUCT((($C$4="Todas")+(ventas_raw_200[Sucursal_limpio]=$C$4)&gt;0)*(($Q$8=0)+(MONTH(ventas_raw_200[Fecha])=$Q$8)&gt;0)*(ventas_raw_200[Producto_limpio]=P39)*ventas_raw_200[Cantidad_Auditada])</f>
        <v>169</v>
      </c>
      <c r="T39" s="31">
        <f>SUMPRODUCT((($C$4="Todas")+(ventas_raw_200[Sucursal_limpio]=$C$4)&gt;0)*(($Q$8=0)+(MONTH(ventas_raw_200[Fecha])=$Q$8)&gt;0)*(ventas_raw_200[Producto_limpio]=P39)*ventas_raw_200[Total_Venta])</f>
        <v>5408000</v>
      </c>
      <c r="U39" s="31">
        <f>SUMPRODUCT((($C$4="Todas")+(ventas_raw_200[Sucursal_limpio]=$C$4)&gt;0)*(($Q$8=0)+(MONTH(ventas_raw_200[Fecha])=$Q$8)&gt;0)*(ventas_raw_200[Producto_limpio]=P39)*ventas_raw_200[Ganancia])</f>
        <v>1859000</v>
      </c>
      <c r="V39" s="45">
        <f t="shared" si="4"/>
        <v>5408000.0609999998</v>
      </c>
    </row>
    <row r="40" spans="2:22" x14ac:dyDescent="0.25">
      <c r="P40" s="23" t="str">
        <f>maestro_productos_15!B13</f>
        <v>Mouse Inalámbrico Ergonómico</v>
      </c>
      <c r="Q40" s="23" t="str">
        <f>maestro_productos_15!C13</f>
        <v>Tecnología</v>
      </c>
      <c r="R40" s="31">
        <f>maestro_productos_15!E13</f>
        <v>15000</v>
      </c>
      <c r="S40" s="31">
        <f>SUMPRODUCT((($C$4="Todas")+(ventas_raw_200[Sucursal_limpio]=$C$4)&gt;0)*(($Q$8=0)+(MONTH(ventas_raw_200[Fecha])=$Q$8)&gt;0)*(ventas_raw_200[Producto_limpio]=P40)*ventas_raw_200[Cantidad_Auditada])</f>
        <v>182</v>
      </c>
      <c r="T40" s="31">
        <f>SUMPRODUCT((($C$4="Todas")+(ventas_raw_200[Sucursal_limpio]=$C$4)&gt;0)*(($Q$8=0)+(MONTH(ventas_raw_200[Fecha])=$Q$8)&gt;0)*(ventas_raw_200[Producto_limpio]=P40)*ventas_raw_200[Total_Venta])</f>
        <v>2730000</v>
      </c>
      <c r="U40" s="31">
        <f>SUMPRODUCT((($C$4="Todas")+(ventas_raw_200[Sucursal_limpio]=$C$4)&gt;0)*(($Q$8=0)+(MONTH(ventas_raw_200[Fecha])=$Q$8)&gt;0)*(ventas_raw_200[Producto_limpio]=P40)*ventas_raw_200[Ganancia])</f>
        <v>1001000</v>
      </c>
      <c r="V40" s="45">
        <f t="shared" si="4"/>
        <v>2730000.06</v>
      </c>
    </row>
    <row r="41" spans="2:22" x14ac:dyDescent="0.25">
      <c r="P41" s="23" t="str">
        <f>maestro_productos_15!B14</f>
        <v>Shampoo Canino Neutro 500ml</v>
      </c>
      <c r="Q41" s="23" t="str">
        <f>maestro_productos_15!C14</f>
        <v>Mascotas</v>
      </c>
      <c r="R41" s="31">
        <f>maestro_productos_15!E14</f>
        <v>6200</v>
      </c>
      <c r="S41" s="31">
        <f>SUMPRODUCT((($C$4="Todas")+(ventas_raw_200[Sucursal_limpio]=$C$4)&gt;0)*(($Q$8=0)+(MONTH(ventas_raw_200[Fecha])=$Q$8)&gt;0)*(ventas_raw_200[Producto_limpio]=P41)*ventas_raw_200[Cantidad_Auditada])</f>
        <v>144</v>
      </c>
      <c r="T41" s="31">
        <f>SUMPRODUCT((($C$4="Todas")+(ventas_raw_200[Sucursal_limpio]=$C$4)&gt;0)*(($Q$8=0)+(MONTH(ventas_raw_200[Fecha])=$Q$8)&gt;0)*(ventas_raw_200[Producto_limpio]=P41)*ventas_raw_200[Total_Venta])</f>
        <v>892800</v>
      </c>
      <c r="U41" s="31">
        <f>SUMPRODUCT((($C$4="Todas")+(ventas_raw_200[Sucursal_limpio]=$C$4)&gt;0)*(($Q$8=0)+(MONTH(ventas_raw_200[Fecha])=$Q$8)&gt;0)*(ventas_raw_200[Producto_limpio]=P41)*ventas_raw_200[Ganancia])</f>
        <v>345600</v>
      </c>
      <c r="V41" s="45">
        <f t="shared" si="4"/>
        <v>892800.05900000001</v>
      </c>
    </row>
    <row r="42" spans="2:22" x14ac:dyDescent="0.25">
      <c r="P42" s="23" t="str">
        <f>maestro_productos_15!B15</f>
        <v>Snack Premios Perro 250g</v>
      </c>
      <c r="Q42" s="23" t="str">
        <f>maestro_productos_15!C15</f>
        <v>Mascotas</v>
      </c>
      <c r="R42" s="31">
        <f>maestro_productos_15!E15</f>
        <v>3100</v>
      </c>
      <c r="S42" s="31">
        <f>SUMPRODUCT((($C$4="Todas")+(ventas_raw_200[Sucursal_limpio]=$C$4)&gt;0)*(($Q$8=0)+(MONTH(ventas_raw_200[Fecha])=$Q$8)&gt;0)*(ventas_raw_200[Producto_limpio]=P42)*ventas_raw_200[Cantidad_Auditada])</f>
        <v>146</v>
      </c>
      <c r="T42" s="31">
        <f>SUMPRODUCT((($C$4="Todas")+(ventas_raw_200[Sucursal_limpio]=$C$4)&gt;0)*(($Q$8=0)+(MONTH(ventas_raw_200[Fecha])=$Q$8)&gt;0)*(ventas_raw_200[Producto_limpio]=P42)*ventas_raw_200[Total_Venta])</f>
        <v>452600</v>
      </c>
      <c r="U42" s="31">
        <f>SUMPRODUCT((($C$4="Todas")+(ventas_raw_200[Sucursal_limpio]=$C$4)&gt;0)*(($Q$8=0)+(MONTH(ventas_raw_200[Fecha])=$Q$8)&gt;0)*(ventas_raw_200[Producto_limpio]=P42)*ventas_raw_200[Ganancia])</f>
        <v>189800</v>
      </c>
      <c r="V42" s="45">
        <f t="shared" si="4"/>
        <v>452600.05800000002</v>
      </c>
    </row>
    <row r="43" spans="2:22" x14ac:dyDescent="0.25">
      <c r="P43" s="23" t="str">
        <f>maestro_productos_15!B16</f>
        <v>Cargador Rápido USB-C 65W</v>
      </c>
      <c r="Q43" s="23" t="str">
        <f>maestro_productos_15!C16</f>
        <v>Tecnología</v>
      </c>
      <c r="R43" s="31">
        <f>maestro_productos_15!E16</f>
        <v>22000</v>
      </c>
      <c r="S43" s="31">
        <f>SUMPRODUCT((($C$4="Todas")+(ventas_raw_200[Sucursal_limpio]=$C$4)&gt;0)*(($Q$8=0)+(MONTH(ventas_raw_200[Fecha])=$Q$8)&gt;0)*(ventas_raw_200[Producto_limpio]=P43)*ventas_raw_200[Cantidad_Auditada])</f>
        <v>110</v>
      </c>
      <c r="T43" s="31">
        <f>SUMPRODUCT((($C$4="Todas")+(ventas_raw_200[Sucursal_limpio]=$C$4)&gt;0)*(($Q$8=0)+(MONTH(ventas_raw_200[Fecha])=$Q$8)&gt;0)*(ventas_raw_200[Producto_limpio]=P43)*ventas_raw_200[Total_Venta])</f>
        <v>2420000</v>
      </c>
      <c r="U43" s="31">
        <f>SUMPRODUCT((($C$4="Todas")+(ventas_raw_200[Sucursal_limpio]=$C$4)&gt;0)*(($Q$8=0)+(MONTH(ventas_raw_200[Fecha])=$Q$8)&gt;0)*(ventas_raw_200[Producto_limpio]=P43)*ventas_raw_200[Ganancia])</f>
        <v>880000</v>
      </c>
      <c r="V43" s="45">
        <f t="shared" si="4"/>
        <v>2420000.057</v>
      </c>
    </row>
    <row r="47" spans="2:22" ht="21.95" customHeight="1" x14ac:dyDescent="0.25">
      <c r="B47" s="69" t="s">
        <v>389</v>
      </c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</row>
    <row r="48" spans="2:22" x14ac:dyDescent="0.25">
      <c r="B48" s="32" t="s">
        <v>390</v>
      </c>
    </row>
    <row r="49" spans="2:13" ht="27.95" customHeight="1" x14ac:dyDescent="0.25">
      <c r="B49" s="33" t="s">
        <v>2</v>
      </c>
      <c r="C49" s="34" t="s">
        <v>275</v>
      </c>
      <c r="D49" s="34" t="s">
        <v>292</v>
      </c>
      <c r="E49" s="34" t="s">
        <v>278</v>
      </c>
      <c r="F49" s="34" t="s">
        <v>281</v>
      </c>
      <c r="G49" s="34" t="s">
        <v>391</v>
      </c>
      <c r="H49" s="34" t="s">
        <v>392</v>
      </c>
      <c r="I49" s="34" t="s">
        <v>379</v>
      </c>
      <c r="J49" s="34" t="s">
        <v>393</v>
      </c>
      <c r="K49" s="34" t="s">
        <v>394</v>
      </c>
    </row>
    <row r="50" spans="2:13" x14ac:dyDescent="0.25">
      <c r="B50" s="35" t="s">
        <v>305</v>
      </c>
      <c r="C50" s="36">
        <f>SUMPRODUCT((($Q$8=0)+(MONTH(ventas_raw_200[Fecha])=$Q$8)&gt;0)*(ventas_raw_200[Sucursal_limpio]=$B50)*(ventas_raw_200[Categoria_oficial]=C$49)*ventas_raw_200[Total_Venta])</f>
        <v>546600</v>
      </c>
      <c r="D50" s="36">
        <f>SUMPRODUCT((($Q$8=0)+(MONTH(ventas_raw_200[Fecha])=$Q$8)&gt;0)*(ventas_raw_200[Sucursal_limpio]=$B50)*(ventas_raw_200[Categoria_oficial]=D$49)*ventas_raw_200[Total_Venta])</f>
        <v>1959000</v>
      </c>
      <c r="E50" s="36">
        <f>SUMPRODUCT((($Q$8=0)+(MONTH(ventas_raw_200[Fecha])=$Q$8)&gt;0)*(ventas_raw_200[Sucursal_limpio]=$B50)*(ventas_raw_200[Categoria_oficial]=E$49)*ventas_raw_200[Total_Venta])</f>
        <v>1675600</v>
      </c>
      <c r="F50" s="36">
        <f>SUMPRODUCT((($Q$8=0)+(MONTH(ventas_raw_200[Fecha])=$Q$8)&gt;0)*(ventas_raw_200[Sucursal_limpio]=$B50)*(ventas_raw_200[Categoria_oficial]=F$49)*ventas_raw_200[Total_Venta])</f>
        <v>4158500</v>
      </c>
      <c r="G50" s="46">
        <f>SUM(C50:F50)</f>
        <v>8339700</v>
      </c>
      <c r="H50" s="38">
        <f>IFERROR(G50/G$54,0)</f>
        <v>0.20572244724780825</v>
      </c>
      <c r="I50" s="38">
        <f>IFERROR(SUMPRODUCT((($Q$8=0)+(MONTH(ventas_raw_200[Fecha])=$Q$8)&gt;0)*(ventas_raw_200[Sucursal_limpio]=$B50)*ventas_raw_200[Ganancia])/G50,0)</f>
        <v>0.35207501468877778</v>
      </c>
      <c r="J50" s="38">
        <f>IFERROR(SUMPRODUCT((($Q$8=0)+(MONTH(ventas_raw_200[Fecha])=$Q$8)&gt;0)*(ventas_raw_200[Sucursal_limpio]=$B50)*ventas_raw_200[Comision])/G50,0)</f>
        <v>4.5823470868256652E-2</v>
      </c>
      <c r="K50" s="38">
        <f>IFERROR((SUMPRODUCT((($Q$8=0)+(MONTH(ventas_raw_200[Fecha])=$Q$8)&gt;0)*(ventas_raw_200[Sucursal_limpio]=$B50)*ventas_raw_200[Ganancia])-SUMPRODUCT((($Q$8=0)+(MONTH(ventas_raw_200[Fecha])=$Q$8)&gt;0)*(ventas_raw_200[Sucursal_limpio]=$B50)*ventas_raw_200[Comision]))/G50,0)</f>
        <v>0.30625154382052111</v>
      </c>
    </row>
    <row r="51" spans="2:13" x14ac:dyDescent="0.25">
      <c r="B51" s="35" t="s">
        <v>25</v>
      </c>
      <c r="C51" s="36">
        <f>SUMPRODUCT((($Q$8=0)+(MONTH(ventas_raw_200[Fecha])=$Q$8)&gt;0)*(ventas_raw_200[Sucursal_limpio]=$B51)*(ventas_raw_200[Categoria_oficial]=C$49)*ventas_raw_200[Total_Venta])</f>
        <v>1218400</v>
      </c>
      <c r="D51" s="36">
        <f>SUMPRODUCT((($Q$8=0)+(MONTH(ventas_raw_200[Fecha])=$Q$8)&gt;0)*(ventas_raw_200[Sucursal_limpio]=$B51)*(ventas_raw_200[Categoria_oficial]=D$49)*ventas_raw_200[Total_Venta])</f>
        <v>160000</v>
      </c>
      <c r="E51" s="36">
        <f>SUMPRODUCT((($Q$8=0)+(MONTH(ventas_raw_200[Fecha])=$Q$8)&gt;0)*(ventas_raw_200[Sucursal_limpio]=$B51)*(ventas_raw_200[Categoria_oficial]=E$49)*ventas_raw_200[Total_Venta])</f>
        <v>2471200</v>
      </c>
      <c r="F51" s="36">
        <f>SUMPRODUCT((($Q$8=0)+(MONTH(ventas_raw_200[Fecha])=$Q$8)&gt;0)*(ventas_raw_200[Sucursal_limpio]=$B51)*(ventas_raw_200[Categoria_oficial]=F$49)*ventas_raw_200[Total_Venta])</f>
        <v>2649500</v>
      </c>
      <c r="G51" s="46">
        <f>SUM(C51:F51)</f>
        <v>6499100</v>
      </c>
      <c r="H51" s="38">
        <f>IFERROR(G51/G$54,0)</f>
        <v>0.16031880726024086</v>
      </c>
      <c r="I51" s="38">
        <f>IFERROR(SUMPRODUCT((($Q$8=0)+(MONTH(ventas_raw_200[Fecha])=$Q$8)&gt;0)*(ventas_raw_200[Sucursal_limpio]=$B51)*ventas_raw_200[Ganancia])/G51,0)</f>
        <v>0.34557092520502841</v>
      </c>
      <c r="J51" s="38">
        <f>IFERROR(SUMPRODUCT((($Q$8=0)+(MONTH(ventas_raw_200[Fecha])=$Q$8)&gt;0)*(ventas_raw_200[Sucursal_limpio]=$B51)*ventas_raw_200[Comision])/G51,0)</f>
        <v>3.1429274822667753E-2</v>
      </c>
      <c r="K51" s="38">
        <f>IFERROR((SUMPRODUCT((($Q$8=0)+(MONTH(ventas_raw_200[Fecha])=$Q$8)&gt;0)*(ventas_raw_200[Sucursal_limpio]=$B51)*ventas_raw_200[Ganancia])-SUMPRODUCT((($Q$8=0)+(MONTH(ventas_raw_200[Fecha])=$Q$8)&gt;0)*(ventas_raw_200[Sucursal_limpio]=$B51)*ventas_raw_200[Comision]))/G51,0)</f>
        <v>0.31414165038236064</v>
      </c>
    </row>
    <row r="52" spans="2:13" x14ac:dyDescent="0.25">
      <c r="B52" s="35" t="s">
        <v>13</v>
      </c>
      <c r="C52" s="36">
        <f>SUMPRODUCT((($Q$8=0)+(MONTH(ventas_raw_200[Fecha])=$Q$8)&gt;0)*(ventas_raw_200[Sucursal_limpio]=$B52)*(ventas_raw_200[Categoria_oficial]=C$49)*ventas_raw_200[Total_Venta])</f>
        <v>1139500</v>
      </c>
      <c r="D52" s="36">
        <f>SUMPRODUCT((($Q$8=0)+(MONTH(ventas_raw_200[Fecha])=$Q$8)&gt;0)*(ventas_raw_200[Sucursal_limpio]=$B52)*(ventas_raw_200[Categoria_oficial]=D$49)*ventas_raw_200[Total_Venta])</f>
        <v>1076000</v>
      </c>
      <c r="E52" s="36">
        <f>SUMPRODUCT((($Q$8=0)+(MONTH(ventas_raw_200[Fecha])=$Q$8)&gt;0)*(ventas_raw_200[Sucursal_limpio]=$B52)*(ventas_raw_200[Categoria_oficial]=E$49)*ventas_raw_200[Total_Venta])</f>
        <v>3137400</v>
      </c>
      <c r="F52" s="36">
        <f>SUMPRODUCT((($Q$8=0)+(MONTH(ventas_raw_200[Fecha])=$Q$8)&gt;0)*(ventas_raw_200[Sucursal_limpio]=$B52)*(ventas_raw_200[Categoria_oficial]=F$49)*ventas_raw_200[Total_Venta])</f>
        <v>6952500</v>
      </c>
      <c r="G52" s="46">
        <f>SUM(C52:F52)</f>
        <v>12305400</v>
      </c>
      <c r="H52" s="38">
        <f>IFERROR(G52/G$54,0)</f>
        <v>0.3035477298180006</v>
      </c>
      <c r="I52" s="38">
        <f>IFERROR(SUMPRODUCT((($Q$8=0)+(MONTH(ventas_raw_200[Fecha])=$Q$8)&gt;0)*(ventas_raw_200[Sucursal_limpio]=$B52)*ventas_raw_200[Ganancia])/G52,0)</f>
        <v>0.35496611243844167</v>
      </c>
      <c r="J52" s="38">
        <f>IFERROR(SUMPRODUCT((($Q$8=0)+(MONTH(ventas_raw_200[Fecha])=$Q$8)&gt;0)*(ventas_raw_200[Sucursal_limpio]=$B52)*ventas_raw_200[Comision])/G52,0)</f>
        <v>3.0412501828465551E-2</v>
      </c>
      <c r="K52" s="38">
        <f>IFERROR((SUMPRODUCT((($Q$8=0)+(MONTH(ventas_raw_200[Fecha])=$Q$8)&gt;0)*(ventas_raw_200[Sucursal_limpio]=$B52)*ventas_raw_200[Ganancia])-SUMPRODUCT((($Q$8=0)+(MONTH(ventas_raw_200[Fecha])=$Q$8)&gt;0)*(ventas_raw_200[Sucursal_limpio]=$B52)*ventas_raw_200[Comision]))/G52,0)</f>
        <v>0.32455361060997612</v>
      </c>
    </row>
    <row r="53" spans="2:13" x14ac:dyDescent="0.25">
      <c r="B53" s="35" t="s">
        <v>19</v>
      </c>
      <c r="C53" s="36">
        <f>SUMPRODUCT((($Q$8=0)+(MONTH(ventas_raw_200[Fecha])=$Q$8)&gt;0)*(ventas_raw_200[Sucursal_limpio]=$B53)*(ventas_raw_200[Categoria_oficial]=C$49)*ventas_raw_200[Total_Venta])</f>
        <v>1702900</v>
      </c>
      <c r="D53" s="36">
        <f>SUMPRODUCT((($Q$8=0)+(MONTH(ventas_raw_200[Fecha])=$Q$8)&gt;0)*(ventas_raw_200[Sucursal_limpio]=$B53)*(ventas_raw_200[Categoria_oficial]=D$49)*ventas_raw_200[Total_Venta])</f>
        <v>3122500</v>
      </c>
      <c r="E53" s="36">
        <f>SUMPRODUCT((($Q$8=0)+(MONTH(ventas_raw_200[Fecha])=$Q$8)&gt;0)*(ventas_raw_200[Sucursal_limpio]=$B53)*(ventas_raw_200[Categoria_oficial]=E$49)*ventas_raw_200[Total_Venta])</f>
        <v>2566500</v>
      </c>
      <c r="F53" s="36">
        <f>SUMPRODUCT((($Q$8=0)+(MONTH(ventas_raw_200[Fecha])=$Q$8)&gt;0)*(ventas_raw_200[Sucursal_limpio]=$B53)*(ventas_raw_200[Categoria_oficial]=F$49)*ventas_raw_200[Total_Venta])</f>
        <v>6002500</v>
      </c>
      <c r="G53" s="46">
        <f>SUM(C53:F53)</f>
        <v>13394400</v>
      </c>
      <c r="H53" s="38">
        <f>IFERROR(G53/G$54,0)</f>
        <v>0.33041101567395026</v>
      </c>
      <c r="I53" s="38">
        <f>IFERROR(SUMPRODUCT((($Q$8=0)+(MONTH(ventas_raw_200[Fecha])=$Q$8)&gt;0)*(ventas_raw_200[Sucursal_limpio]=$B53)*ventas_raw_200[Ganancia])/G53,0)</f>
        <v>0.34910858269127398</v>
      </c>
      <c r="J53" s="38">
        <f>IFERROR(SUMPRODUCT((($Q$8=0)+(MONTH(ventas_raw_200[Fecha])=$Q$8)&gt;0)*(ventas_raw_200[Sucursal_limpio]=$B53)*ventas_raw_200[Comision])/G53,0)</f>
        <v>3.226482709191901E-2</v>
      </c>
      <c r="K53" s="38">
        <f>IFERROR((SUMPRODUCT((($Q$8=0)+(MONTH(ventas_raw_200[Fecha])=$Q$8)&gt;0)*(ventas_raw_200[Sucursal_limpio]=$B53)*ventas_raw_200[Ganancia])-SUMPRODUCT((($Q$8=0)+(MONTH(ventas_raw_200[Fecha])=$Q$8)&gt;0)*(ventas_raw_200[Sucursal_limpio]=$B53)*ventas_raw_200[Comision]))/G53,0)</f>
        <v>0.31684375559935496</v>
      </c>
    </row>
    <row r="54" spans="2:13" x14ac:dyDescent="0.25">
      <c r="B54" s="39" t="s">
        <v>391</v>
      </c>
      <c r="C54" s="40">
        <f>SUM(C50:C53)</f>
        <v>4607400</v>
      </c>
      <c r="D54" s="40">
        <f>SUM(D50:D53)</f>
        <v>6317500</v>
      </c>
      <c r="E54" s="40">
        <f>SUM(E50:E53)</f>
        <v>9850700</v>
      </c>
      <c r="F54" s="40">
        <f>SUM(F50:F53)</f>
        <v>19763000</v>
      </c>
      <c r="G54" s="40">
        <f>SUM(G50:G53)</f>
        <v>40538600</v>
      </c>
      <c r="H54" s="43">
        <f>IFERROR(G54/G54,0)</f>
        <v>1</v>
      </c>
      <c r="I54" s="43">
        <f>IFERROR(SUMPRODUCT((($Q$8=0)+(MONTH(ventas_raw_200[Fecha])=$Q$8)&gt;0)*ventas_raw_200[Ganancia])/G54,0)</f>
        <v>0.35092973116979864</v>
      </c>
      <c r="J54" s="43">
        <f>IFERROR(SUMPRODUCT((($Q$8=0)+(MONTH(ventas_raw_200[Fecha])=$Q$8)&gt;0)*ventas_raw_200[Comision])/G54,0)</f>
        <v>3.4357920599132681E-2</v>
      </c>
      <c r="K54" s="43">
        <f>IFERROR((SUMPRODUCT((($Q$8=0)+(MONTH(ventas_raw_200[Fecha])=$Q$8)&gt;0)*ventas_raw_200[Ganancia])-SUMPRODUCT((($Q$8=0)+(MONTH(ventas_raw_200[Fecha])=$Q$8)&gt;0)*ventas_raw_200[Comision]))/G54,0)</f>
        <v>0.31657181057066597</v>
      </c>
    </row>
    <row r="55" spans="2:13" x14ac:dyDescent="0.25">
      <c r="B55" s="47" t="s">
        <v>392</v>
      </c>
      <c r="C55" s="48">
        <f>IFERROR(C54/$G$54,0)</f>
        <v>0.11365464026878086</v>
      </c>
      <c r="D55" s="48">
        <f>IFERROR(D54/$G$54,0)</f>
        <v>0.15583912616617249</v>
      </c>
      <c r="E55" s="48">
        <f>IFERROR(E54/$G$54,0)</f>
        <v>0.24299556472103132</v>
      </c>
      <c r="F55" s="48">
        <f>IFERROR(F54/$G$54,0)</f>
        <v>0.48751066884401534</v>
      </c>
    </row>
    <row r="56" spans="2:13" x14ac:dyDescent="0.25">
      <c r="B56" s="47" t="s">
        <v>379</v>
      </c>
      <c r="C56" s="48">
        <f>IFERROR(SUMPRODUCT((($Q$8=0)+(MONTH(ventas_raw_200[Fecha])=$Q$8)&gt;0)*(ventas_raw_200[Categoria_oficial]=C$49)*ventas_raw_200[Ganancia])/C54,0)</f>
        <v>0.32825454703303381</v>
      </c>
      <c r="D56" s="48">
        <f>IFERROR(SUMPRODUCT((($Q$8=0)+(MONTH(ventas_raw_200[Fecha])=$Q$8)&gt;0)*(ventas_raw_200[Categoria_oficial]=D$49)*ventas_raw_200[Ganancia])/D54,0)</f>
        <v>0.35692916501780769</v>
      </c>
      <c r="E56" s="48">
        <f>IFERROR(SUMPRODUCT((($Q$8=0)+(MONTH(ventas_raw_200[Fecha])=$Q$8)&gt;0)*(ventas_raw_200[Categoria_oficial]=E$49)*ventas_raw_200[Ganancia])/E54,0)</f>
        <v>0.3484930004974266</v>
      </c>
      <c r="F56" s="48">
        <f>IFERROR(SUMPRODUCT((($Q$8=0)+(MONTH(ventas_raw_200[Fecha])=$Q$8)&gt;0)*(ventas_raw_200[Categoria_oficial]=F$49)*ventas_raw_200[Ganancia])/F54,0)</f>
        <v>0.35551282699994941</v>
      </c>
    </row>
    <row r="59" spans="2:13" ht="21.95" customHeight="1" x14ac:dyDescent="0.25">
      <c r="B59" s="69" t="s">
        <v>395</v>
      </c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</row>
    <row r="60" spans="2:13" x14ac:dyDescent="0.25">
      <c r="B60" s="32" t="s">
        <v>396</v>
      </c>
    </row>
    <row r="61" spans="2:13" ht="27.95" customHeight="1" x14ac:dyDescent="0.25">
      <c r="B61" s="33" t="s">
        <v>3</v>
      </c>
      <c r="C61" s="34" t="s">
        <v>375</v>
      </c>
      <c r="D61" s="34" t="s">
        <v>384</v>
      </c>
      <c r="E61" s="34" t="s">
        <v>345</v>
      </c>
      <c r="F61" s="34" t="s">
        <v>392</v>
      </c>
      <c r="G61" s="34" t="s">
        <v>378</v>
      </c>
      <c r="H61" s="34" t="s">
        <v>379</v>
      </c>
      <c r="I61" s="34" t="s">
        <v>397</v>
      </c>
      <c r="J61" s="34" t="s">
        <v>393</v>
      </c>
      <c r="K61" s="34" t="s">
        <v>394</v>
      </c>
    </row>
    <row r="62" spans="2:13" x14ac:dyDescent="0.25">
      <c r="B62" s="35" t="s">
        <v>10</v>
      </c>
      <c r="C62" s="36">
        <f>SUMPRODUCT((($C$4="Todas")+(ventas_raw_200[Sucursal_limpio]=$C$4)&gt;0)*(($Q$8=0)+(MONTH(ventas_raw_200[Fecha])=$Q$8)&gt;0)*(ventas_raw_200[Vendedor_limpio]=$B62))</f>
        <v>69</v>
      </c>
      <c r="D62" s="36">
        <f>SUMPRODUCT((($C$4="Todas")+(ventas_raw_200[Sucursal_limpio]=$C$4)&gt;0)*(($Q$8=0)+(MONTH(ventas_raw_200[Fecha])=$Q$8)&gt;0)*(ventas_raw_200[Vendedor_limpio]=$B62)*ventas_raw_200[Cantidad_Auditada])</f>
        <v>777</v>
      </c>
      <c r="E62" s="36">
        <f>SUMPRODUCT((($C$4="Todas")+(ventas_raw_200[Sucursal_limpio]=$C$4)&gt;0)*(($Q$8=0)+(MONTH(ventas_raw_200[Fecha])=$Q$8)&gt;0)*(ventas_raw_200[Vendedor_limpio]=$B62)*ventas_raw_200[Total_Venta])</f>
        <v>13768300</v>
      </c>
      <c r="F62" s="38">
        <f>IFERROR(E62/E$66,0)</f>
        <v>0.33963432382963399</v>
      </c>
      <c r="G62" s="36">
        <f>IFERROR(E62/C62,0)</f>
        <v>199540.57971014493</v>
      </c>
      <c r="H62" s="38">
        <f>IFERROR(SUMPRODUCT((($C$4="Todas")+(ventas_raw_200[Sucursal_limpio]=$C$4)&gt;0)*(($Q$8=0)+(MONTH(ventas_raw_200[Fecha])=$Q$8)&gt;0)*(ventas_raw_200[Vendedor_limpio]=$B62)*ventas_raw_200[Ganancia])/E62,0)</f>
        <v>0.34686199458175665</v>
      </c>
      <c r="I62" s="36">
        <f>SUMPRODUCT((($C$4="Todas")+(ventas_raw_200[Sucursal_limpio]=$C$4)&gt;0)*(($Q$8=0)+(MONTH(ventas_raw_200[Fecha])=$Q$8)&gt;0)*(ventas_raw_200[Vendedor_limpio]=$B62)*ventas_raw_200[Comision])</f>
        <v>453536</v>
      </c>
      <c r="J62" s="38">
        <f>IFERROR(I62/E62,0)</f>
        <v>3.2940595425724306E-2</v>
      </c>
      <c r="K62" s="38">
        <f>IFERROR((SUMPRODUCT((($C$4="Todas")+(ventas_raw_200[Sucursal_limpio]=$C$4)&gt;0)*(($Q$8=0)+(MONTH(ventas_raw_200[Fecha])=$Q$8)&gt;0)*(ventas_raw_200[Vendedor_limpio]=$B62)*ventas_raw_200[Ganancia])-I62)/E62,0)</f>
        <v>0.31392139915603234</v>
      </c>
    </row>
    <row r="63" spans="2:13" x14ac:dyDescent="0.25">
      <c r="B63" s="35" t="s">
        <v>69</v>
      </c>
      <c r="C63" s="36">
        <f>SUMPRODUCT((($C$4="Todas")+(ventas_raw_200[Sucursal_limpio]=$C$4)&gt;0)*(($Q$8=0)+(MONTH(ventas_raw_200[Fecha])=$Q$8)&gt;0)*(ventas_raw_200[Vendedor_limpio]=$B63))</f>
        <v>62</v>
      </c>
      <c r="D63" s="36">
        <f>SUMPRODUCT((($C$4="Todas")+(ventas_raw_200[Sucursal_limpio]=$C$4)&gt;0)*(($Q$8=0)+(MONTH(ventas_raw_200[Fecha])=$Q$8)&gt;0)*(ventas_raw_200[Vendedor_limpio]=$B63)*ventas_raw_200[Cantidad_Auditada])</f>
        <v>766</v>
      </c>
      <c r="E63" s="36">
        <f>SUMPRODUCT((($C$4="Todas")+(ventas_raw_200[Sucursal_limpio]=$C$4)&gt;0)*(($Q$8=0)+(MONTH(ventas_raw_200[Fecha])=$Q$8)&gt;0)*(ventas_raw_200[Vendedor_limpio]=$B63)*ventas_raw_200[Total_Venta])</f>
        <v>12850300</v>
      </c>
      <c r="F63" s="38">
        <f>IFERROR(E63/E$66,0)</f>
        <v>0.31698923988494915</v>
      </c>
      <c r="G63" s="36">
        <f>IFERROR(E63/C63,0)</f>
        <v>207262.90322580645</v>
      </c>
      <c r="H63" s="38">
        <f>IFERROR(SUMPRODUCT((($C$4="Todas")+(ventas_raw_200[Sucursal_limpio]=$C$4)&gt;0)*(($Q$8=0)+(MONTH(ventas_raw_200[Fecha])=$Q$8)&gt;0)*(ventas_raw_200[Vendedor_limpio]=$B63)*ventas_raw_200[Ganancia])/E63,0)</f>
        <v>0.35674653510034787</v>
      </c>
      <c r="I63" s="36">
        <f>SUMPRODUCT((($C$4="Todas")+(ventas_raw_200[Sucursal_limpio]=$C$4)&gt;0)*(($Q$8=0)+(MONTH(ventas_raw_200[Fecha])=$Q$8)&gt;0)*(ventas_raw_200[Vendedor_limpio]=$B63)*ventas_raw_200[Comision])</f>
        <v>433686</v>
      </c>
      <c r="J63" s="38">
        <f>IFERROR(I63/E63,0)</f>
        <v>3.3749095351859493E-2</v>
      </c>
      <c r="K63" s="38">
        <f>IFERROR((SUMPRODUCT((($C$4="Todas")+(ventas_raw_200[Sucursal_limpio]=$C$4)&gt;0)*(($Q$8=0)+(MONTH(ventas_raw_200[Fecha])=$Q$8)&gt;0)*(ventas_raw_200[Vendedor_limpio]=$B63)*ventas_raw_200[Ganancia])-I63)/E63,0)</f>
        <v>0.32299743974848838</v>
      </c>
    </row>
    <row r="64" spans="2:13" x14ac:dyDescent="0.25">
      <c r="B64" s="35" t="s">
        <v>14</v>
      </c>
      <c r="C64" s="36">
        <f>SUMPRODUCT((($C$4="Todas")+(ventas_raw_200[Sucursal_limpio]=$C$4)&gt;0)*(($Q$8=0)+(MONTH(ventas_raw_200[Fecha])=$Q$8)&gt;0)*(ventas_raw_200[Vendedor_limpio]=$B64))</f>
        <v>50</v>
      </c>
      <c r="D64" s="36">
        <f>SUMPRODUCT((($C$4="Todas")+(ventas_raw_200[Sucursal_limpio]=$C$4)&gt;0)*(($Q$8=0)+(MONTH(ventas_raw_200[Fecha])=$Q$8)&gt;0)*(ventas_raw_200[Vendedor_limpio]=$B64)*ventas_raw_200[Cantidad_Auditada])</f>
        <v>536</v>
      </c>
      <c r="E64" s="36">
        <f>SUMPRODUCT((($C$4="Todas")+(ventas_raw_200[Sucursal_limpio]=$C$4)&gt;0)*(($Q$8=0)+(MONTH(ventas_raw_200[Fecha])=$Q$8)&gt;0)*(ventas_raw_200[Vendedor_limpio]=$B64)*ventas_raw_200[Total_Venta])</f>
        <v>9631300</v>
      </c>
      <c r="F64" s="38">
        <f>IFERROR(E64/E$66,0)</f>
        <v>0.23758343899394652</v>
      </c>
      <c r="G64" s="36">
        <f>IFERROR(E64/C64,0)</f>
        <v>192626</v>
      </c>
      <c r="H64" s="38">
        <f>IFERROR(SUMPRODUCT((($C$4="Todas")+(ventas_raw_200[Sucursal_limpio]=$C$4)&gt;0)*(($Q$8=0)+(MONTH(ventas_raw_200[Fecha])=$Q$8)&gt;0)*(ventas_raw_200[Vendedor_limpio]=$B64)*ventas_raw_200[Ganancia])/E64,0)</f>
        <v>0.35038883639799406</v>
      </c>
      <c r="I64" s="36">
        <f>SUMPRODUCT((($C$4="Todas")+(ventas_raw_200[Sucursal_limpio]=$C$4)&gt;0)*(($Q$8=0)+(MONTH(ventas_raw_200[Fecha])=$Q$8)&gt;0)*(ventas_raw_200[Vendedor_limpio]=$B64)*ventas_raw_200[Comision])</f>
        <v>351526</v>
      </c>
      <c r="J64" s="38">
        <f>IFERROR(I64/E64,0)</f>
        <v>3.6498292027036847E-2</v>
      </c>
      <c r="K64" s="38">
        <f>IFERROR((SUMPRODUCT((($C$4="Todas")+(ventas_raw_200[Sucursal_limpio]=$C$4)&gt;0)*(($Q$8=0)+(MONTH(ventas_raw_200[Fecha])=$Q$8)&gt;0)*(ventas_raw_200[Vendedor_limpio]=$B64)*ventas_raw_200[Ganancia])-I64)/E64,0)</f>
        <v>0.3138905443709572</v>
      </c>
    </row>
    <row r="65" spans="2:23" x14ac:dyDescent="0.25">
      <c r="B65" s="35" t="s">
        <v>398</v>
      </c>
      <c r="C65" s="36">
        <f>SUMPRODUCT((($C$4="Todas")+(ventas_raw_200[Sucursal_limpio]=$C$4)&gt;0)*(($Q$8=0)+(MONTH(ventas_raw_200[Fecha])=$Q$8)&gt;0)*(ventas_raw_200[Vendedor_limpio]=$B65))</f>
        <v>19</v>
      </c>
      <c r="D65" s="36">
        <f>SUMPRODUCT((($C$4="Todas")+(ventas_raw_200[Sucursal_limpio]=$C$4)&gt;0)*(($Q$8=0)+(MONTH(ventas_raw_200[Fecha])=$Q$8)&gt;0)*(ventas_raw_200[Vendedor_limpio]=$B65)*ventas_raw_200[Cantidad_Auditada])</f>
        <v>209</v>
      </c>
      <c r="E65" s="36">
        <f>SUMPRODUCT((($C$4="Todas")+(ventas_raw_200[Sucursal_limpio]=$C$4)&gt;0)*(($Q$8=0)+(MONTH(ventas_raw_200[Fecha])=$Q$8)&gt;0)*(ventas_raw_200[Vendedor_limpio]=$B65)*ventas_raw_200[Total_Venta])</f>
        <v>4288700</v>
      </c>
      <c r="F65" s="38">
        <f>IFERROR(E65/E$66,0)</f>
        <v>0.10579299729147035</v>
      </c>
      <c r="G65" s="36">
        <f>IFERROR(E65/C65,0)</f>
        <v>225721.05263157896</v>
      </c>
      <c r="H65" s="38">
        <f>IFERROR(SUMPRODUCT((($C$4="Todas")+(ventas_raw_200[Sucursal_limpio]=$C$4)&gt;0)*(($Q$8=0)+(MONTH(ventas_raw_200[Fecha])=$Q$8)&gt;0)*(ventas_raw_200[Vendedor_limpio]=$B65)*ventas_raw_200[Ganancia])/E65,0)</f>
        <v>0.34777438384592069</v>
      </c>
      <c r="I65" s="36">
        <f>SUMPRODUCT((($C$4="Todas")+(ventas_raw_200[Sucursal_limpio]=$C$4)&gt;0)*(($Q$8=0)+(MONTH(ventas_raw_200[Fecha])=$Q$8)&gt;0)*(ventas_raw_200[Vendedor_limpio]=$B65)*ventas_raw_200[Comision])</f>
        <v>154074</v>
      </c>
      <c r="J65" s="38">
        <f>IFERROR(I65/E65,0)</f>
        <v>3.5925571851610043E-2</v>
      </c>
      <c r="K65" s="38">
        <f>IFERROR((SUMPRODUCT((($C$4="Todas")+(ventas_raw_200[Sucursal_limpio]=$C$4)&gt;0)*(($Q$8=0)+(MONTH(ventas_raw_200[Fecha])=$Q$8)&gt;0)*(ventas_raw_200[Vendedor_limpio]=$B65)*ventas_raw_200[Ganancia])-I65)/E65,0)</f>
        <v>0.31184881199431064</v>
      </c>
    </row>
    <row r="66" spans="2:23" x14ac:dyDescent="0.25">
      <c r="B66" s="39" t="s">
        <v>391</v>
      </c>
      <c r="C66" s="40">
        <f>SUM(C62:C65)</f>
        <v>200</v>
      </c>
      <c r="D66" s="40">
        <f>SUM(D62:D65)</f>
        <v>2288</v>
      </c>
      <c r="E66" s="40">
        <f>SUM(E62:E65)</f>
        <v>40538600</v>
      </c>
      <c r="F66" s="43">
        <f>IFERROR(E66/E66,0)</f>
        <v>1</v>
      </c>
      <c r="G66" s="40">
        <f>IFERROR(E66/C66,0)</f>
        <v>202693</v>
      </c>
      <c r="H66" s="43">
        <f>IFERROR($E$7/E66,0)</f>
        <v>0.35092973116979864</v>
      </c>
      <c r="I66" s="40">
        <f>SUM(I62:I65)</f>
        <v>1392822</v>
      </c>
      <c r="J66" s="43">
        <f>IFERROR(I66/E66,0)</f>
        <v>3.4357920599132681E-2</v>
      </c>
      <c r="K66" s="43">
        <f>IFERROR(($E$7-I66)/E66,0)</f>
        <v>0.31657181057066597</v>
      </c>
    </row>
    <row r="69" spans="2:23" ht="21.95" customHeight="1" x14ac:dyDescent="0.25">
      <c r="B69" s="69" t="s">
        <v>399</v>
      </c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</row>
    <row r="70" spans="2:23" x14ac:dyDescent="0.25">
      <c r="B70" s="32" t="s">
        <v>400</v>
      </c>
      <c r="K70" s="49" t="s">
        <v>401</v>
      </c>
      <c r="L70" s="50">
        <v>0.8</v>
      </c>
      <c r="M70" s="50">
        <v>0.95</v>
      </c>
    </row>
    <row r="71" spans="2:23" ht="27.95" customHeight="1" x14ac:dyDescent="0.25">
      <c r="B71" s="33" t="s">
        <v>4</v>
      </c>
      <c r="C71" s="34" t="s">
        <v>382</v>
      </c>
      <c r="D71" s="34" t="s">
        <v>384</v>
      </c>
      <c r="E71" s="34" t="s">
        <v>345</v>
      </c>
      <c r="F71" s="34" t="s">
        <v>392</v>
      </c>
      <c r="G71" s="34" t="s">
        <v>402</v>
      </c>
      <c r="H71" s="34" t="s">
        <v>403</v>
      </c>
      <c r="I71" s="34" t="s">
        <v>379</v>
      </c>
      <c r="J71" s="34" t="s">
        <v>383</v>
      </c>
      <c r="K71" s="34" t="s">
        <v>404</v>
      </c>
      <c r="L71" s="34" t="s">
        <v>405</v>
      </c>
    </row>
    <row r="72" spans="2:23" x14ac:dyDescent="0.25">
      <c r="B72" s="35" t="str">
        <f t="shared" ref="B72:B86" si="5">INDEX($P$29:$P$43,$W72)</f>
        <v>Teclado Mecánico RGB</v>
      </c>
      <c r="C72" s="51" t="str">
        <f t="shared" ref="C72:C86" si="6">INDEX($Q$29:$Q$43,$W72)</f>
        <v>Tecnología</v>
      </c>
      <c r="D72" s="36">
        <f t="shared" ref="D72:D86" si="7">INDEX($S$29:$S$43,$W72)</f>
        <v>142</v>
      </c>
      <c r="E72" s="36">
        <f t="shared" ref="E72:E86" si="8">INDEX($T$29:$T$43,$W72)</f>
        <v>6390000</v>
      </c>
      <c r="F72" s="38">
        <f t="shared" ref="F72:F86" si="9">IFERROR(E72/SUM($E$72:$E$86),0)</f>
        <v>0.15762754510515903</v>
      </c>
      <c r="G72" s="38">
        <f>F72</f>
        <v>0.15762754510515903</v>
      </c>
      <c r="H72" s="52" t="str">
        <f t="shared" ref="H72:H86" si="10">IF(E72=0,"—",IF(G72-F72&lt;$L$70,"A",IF(G72-F72&lt;$M$70,"B","C")))</f>
        <v>A</v>
      </c>
      <c r="I72" s="38">
        <f t="shared" ref="I72:I86" si="11">IFERROR(INDEX($U$29:$U$43,$W72)/E72,0)</f>
        <v>0.33333333333333331</v>
      </c>
      <c r="J72" s="36">
        <f t="shared" ref="J72:J86" si="12">INDEX($R$29:$R$43,$W72)</f>
        <v>45000</v>
      </c>
      <c r="K72" s="53" t="str">
        <f t="shared" ref="K72:K86" si="13">IF(J72&gt;$C$128,"Alto (4–6 %)","Base (2 %)")</f>
        <v>Alto (4–6 %)</v>
      </c>
      <c r="L72" s="54">
        <v>1</v>
      </c>
      <c r="W72" s="23">
        <f>MATCH(LARGE($V$29:$V$43,1),$V$29:$V$43,0)</f>
        <v>8</v>
      </c>
    </row>
    <row r="73" spans="2:23" x14ac:dyDescent="0.25">
      <c r="B73" s="35" t="str">
        <f t="shared" si="5"/>
        <v>Termo Acero Inoxidable 1.3L</v>
      </c>
      <c r="C73" s="51" t="str">
        <f t="shared" si="6"/>
        <v>Bazar</v>
      </c>
      <c r="D73" s="36">
        <f t="shared" si="7"/>
        <v>169</v>
      </c>
      <c r="E73" s="36">
        <f t="shared" si="8"/>
        <v>5408000</v>
      </c>
      <c r="F73" s="38">
        <f t="shared" si="9"/>
        <v>0.1334037189246792</v>
      </c>
      <c r="G73" s="38">
        <f t="shared" ref="G73:G86" si="14">G72+F73</f>
        <v>0.29103126402983825</v>
      </c>
      <c r="H73" s="52" t="str">
        <f t="shared" si="10"/>
        <v>A</v>
      </c>
      <c r="I73" s="38">
        <f t="shared" si="11"/>
        <v>0.34375</v>
      </c>
      <c r="J73" s="36">
        <f t="shared" si="12"/>
        <v>32000</v>
      </c>
      <c r="K73" s="53" t="str">
        <f t="shared" si="13"/>
        <v>Alto (4–6 %)</v>
      </c>
      <c r="L73" s="54">
        <v>2</v>
      </c>
      <c r="W73" s="23">
        <f>MATCH(LARGE($V$29:$V$43,2),$V$29:$V$43,0)</f>
        <v>11</v>
      </c>
    </row>
    <row r="74" spans="2:23" x14ac:dyDescent="0.25">
      <c r="B74" s="35" t="str">
        <f t="shared" si="5"/>
        <v>Auriculares Bluetooth Pro</v>
      </c>
      <c r="C74" s="51" t="str">
        <f t="shared" si="6"/>
        <v>Tecnología</v>
      </c>
      <c r="D74" s="36">
        <f t="shared" si="7"/>
        <v>192</v>
      </c>
      <c r="E74" s="36">
        <f t="shared" si="8"/>
        <v>5376000</v>
      </c>
      <c r="F74" s="38">
        <f t="shared" si="9"/>
        <v>0.13261434780678169</v>
      </c>
      <c r="G74" s="38">
        <f t="shared" si="14"/>
        <v>0.42364561183661997</v>
      </c>
      <c r="H74" s="52" t="str">
        <f t="shared" si="10"/>
        <v>A</v>
      </c>
      <c r="I74" s="38">
        <f t="shared" si="11"/>
        <v>0.35714285714285715</v>
      </c>
      <c r="J74" s="36">
        <f t="shared" si="12"/>
        <v>28000</v>
      </c>
      <c r="K74" s="53" t="str">
        <f t="shared" si="13"/>
        <v>Alto (4–6 %)</v>
      </c>
      <c r="L74" s="54">
        <v>3</v>
      </c>
      <c r="W74" s="23">
        <f>MATCH(LARGE($V$29:$V$43,3),$V$29:$V$43,0)</f>
        <v>3</v>
      </c>
    </row>
    <row r="75" spans="2:23" x14ac:dyDescent="0.25">
      <c r="B75" s="35" t="str">
        <f t="shared" si="5"/>
        <v>Café en Grano Intenso 1kg</v>
      </c>
      <c r="C75" s="51" t="str">
        <f t="shared" si="6"/>
        <v>Alimentos</v>
      </c>
      <c r="D75" s="36">
        <f t="shared" si="7"/>
        <v>194</v>
      </c>
      <c r="E75" s="36">
        <f t="shared" si="8"/>
        <v>3589000</v>
      </c>
      <c r="F75" s="38">
        <f t="shared" si="9"/>
        <v>8.8532904441692609E-2</v>
      </c>
      <c r="G75" s="38">
        <f t="shared" si="14"/>
        <v>0.51217851627831257</v>
      </c>
      <c r="H75" s="52" t="str">
        <f t="shared" si="10"/>
        <v>A</v>
      </c>
      <c r="I75" s="38">
        <f t="shared" si="11"/>
        <v>0.32432432432432434</v>
      </c>
      <c r="J75" s="36">
        <f t="shared" si="12"/>
        <v>18500</v>
      </c>
      <c r="K75" s="53" t="str">
        <f t="shared" si="13"/>
        <v>Base (2 %)</v>
      </c>
      <c r="L75" s="54">
        <v>4</v>
      </c>
      <c r="W75" s="23">
        <f>MATCH(LARGE($V$29:$V$43,4),$V$29:$V$43,0)</f>
        <v>9</v>
      </c>
    </row>
    <row r="76" spans="2:23" x14ac:dyDescent="0.25">
      <c r="B76" s="35" t="str">
        <f t="shared" si="5"/>
        <v>Alimento Gato Castrado 10kg</v>
      </c>
      <c r="C76" s="51" t="str">
        <f t="shared" si="6"/>
        <v>Mascotas</v>
      </c>
      <c r="D76" s="36">
        <f t="shared" si="7"/>
        <v>121</v>
      </c>
      <c r="E76" s="36">
        <f t="shared" si="8"/>
        <v>3569500</v>
      </c>
      <c r="F76" s="38">
        <f t="shared" si="9"/>
        <v>8.8051881416723821E-2</v>
      </c>
      <c r="G76" s="38">
        <f t="shared" si="14"/>
        <v>0.60023039769503639</v>
      </c>
      <c r="H76" s="52" t="str">
        <f t="shared" si="10"/>
        <v>A</v>
      </c>
      <c r="I76" s="38">
        <f t="shared" si="11"/>
        <v>0.32203389830508472</v>
      </c>
      <c r="J76" s="36">
        <f t="shared" si="12"/>
        <v>29500</v>
      </c>
      <c r="K76" s="53" t="str">
        <f t="shared" si="13"/>
        <v>Alto (4–6 %)</v>
      </c>
      <c r="L76" s="54">
        <v>5</v>
      </c>
      <c r="W76" s="23">
        <f>MATCH(LARGE($V$29:$V$43,5),$V$29:$V$43,0)</f>
        <v>7</v>
      </c>
    </row>
    <row r="77" spans="2:23" x14ac:dyDescent="0.25">
      <c r="B77" s="35" t="str">
        <f t="shared" si="5"/>
        <v>Alimento Perro Adulto 15kg</v>
      </c>
      <c r="C77" s="51" t="str">
        <f t="shared" si="6"/>
        <v>Mascotas</v>
      </c>
      <c r="D77" s="36">
        <f t="shared" si="7"/>
        <v>85</v>
      </c>
      <c r="E77" s="36">
        <f t="shared" si="8"/>
        <v>2975000</v>
      </c>
      <c r="F77" s="38">
        <f t="shared" si="9"/>
        <v>7.3386846117034138E-2</v>
      </c>
      <c r="G77" s="38">
        <f t="shared" si="14"/>
        <v>0.67361724381207055</v>
      </c>
      <c r="H77" s="52" t="str">
        <f t="shared" si="10"/>
        <v>A</v>
      </c>
      <c r="I77" s="38">
        <f t="shared" si="11"/>
        <v>0.31428571428571428</v>
      </c>
      <c r="J77" s="36">
        <f t="shared" si="12"/>
        <v>35000</v>
      </c>
      <c r="K77" s="53" t="str">
        <f t="shared" si="13"/>
        <v>Alto (4–6 %)</v>
      </c>
      <c r="L77" s="54">
        <v>6</v>
      </c>
      <c r="W77" s="23">
        <f>MATCH(LARGE($V$29:$V$43,6),$V$29:$V$43,0)</f>
        <v>2</v>
      </c>
    </row>
    <row r="78" spans="2:23" x14ac:dyDescent="0.25">
      <c r="B78" s="35" t="str">
        <f t="shared" si="5"/>
        <v>Soporte Regulable Notebook</v>
      </c>
      <c r="C78" s="51" t="str">
        <f t="shared" si="6"/>
        <v>Tecnología</v>
      </c>
      <c r="D78" s="36">
        <f t="shared" si="7"/>
        <v>146</v>
      </c>
      <c r="E78" s="36">
        <f t="shared" si="8"/>
        <v>2847000</v>
      </c>
      <c r="F78" s="38">
        <f t="shared" si="9"/>
        <v>7.0229361645444091E-2</v>
      </c>
      <c r="G78" s="38">
        <f t="shared" si="14"/>
        <v>0.74384660545751469</v>
      </c>
      <c r="H78" s="52" t="str">
        <f t="shared" si="10"/>
        <v>A</v>
      </c>
      <c r="I78" s="38">
        <f t="shared" si="11"/>
        <v>0.38461538461538464</v>
      </c>
      <c r="J78" s="36">
        <f t="shared" si="12"/>
        <v>19500</v>
      </c>
      <c r="K78" s="53" t="str">
        <f t="shared" si="13"/>
        <v>Base (2 %)</v>
      </c>
      <c r="L78" s="54">
        <v>7</v>
      </c>
      <c r="W78" s="23">
        <f>MATCH(LARGE($V$29:$V$43,7),$V$29:$V$43,0)</f>
        <v>4</v>
      </c>
    </row>
    <row r="79" spans="2:23" x14ac:dyDescent="0.25">
      <c r="B79" s="35" t="str">
        <f t="shared" si="5"/>
        <v>Mouse Inalámbrico Ergonómico</v>
      </c>
      <c r="C79" s="51" t="str">
        <f t="shared" si="6"/>
        <v>Tecnología</v>
      </c>
      <c r="D79" s="36">
        <f t="shared" si="7"/>
        <v>182</v>
      </c>
      <c r="E79" s="36">
        <f t="shared" si="8"/>
        <v>2730000</v>
      </c>
      <c r="F79" s="38">
        <f t="shared" si="9"/>
        <v>6.7343223495631321E-2</v>
      </c>
      <c r="G79" s="38">
        <f t="shared" si="14"/>
        <v>0.81118982895314606</v>
      </c>
      <c r="H79" s="52" t="str">
        <f t="shared" si="10"/>
        <v>A</v>
      </c>
      <c r="I79" s="38">
        <f t="shared" si="11"/>
        <v>0.36666666666666664</v>
      </c>
      <c r="J79" s="36">
        <f t="shared" si="12"/>
        <v>15000</v>
      </c>
      <c r="K79" s="53" t="str">
        <f t="shared" si="13"/>
        <v>Base (2 %)</v>
      </c>
      <c r="L79" s="54">
        <v>8</v>
      </c>
      <c r="W79" s="23">
        <f>MATCH(LARGE($V$29:$V$43,8),$V$29:$V$43,0)</f>
        <v>12</v>
      </c>
    </row>
    <row r="80" spans="2:23" x14ac:dyDescent="0.25">
      <c r="B80" s="35" t="str">
        <f t="shared" si="5"/>
        <v>Cargador Rápido USB-C 65W</v>
      </c>
      <c r="C80" s="51" t="str">
        <f t="shared" si="6"/>
        <v>Tecnología</v>
      </c>
      <c r="D80" s="36">
        <f t="shared" si="7"/>
        <v>110</v>
      </c>
      <c r="E80" s="36">
        <f t="shared" si="8"/>
        <v>2420000</v>
      </c>
      <c r="F80" s="38">
        <f t="shared" si="9"/>
        <v>5.9696190790999193E-2</v>
      </c>
      <c r="G80" s="38">
        <f t="shared" si="14"/>
        <v>0.87088601974414526</v>
      </c>
      <c r="H80" s="52" t="str">
        <f t="shared" si="10"/>
        <v>B</v>
      </c>
      <c r="I80" s="38">
        <f t="shared" si="11"/>
        <v>0.36363636363636365</v>
      </c>
      <c r="J80" s="36">
        <f t="shared" si="12"/>
        <v>22000</v>
      </c>
      <c r="K80" s="53" t="str">
        <f t="shared" si="13"/>
        <v>Base (2 %)</v>
      </c>
      <c r="L80" s="54">
        <v>9</v>
      </c>
      <c r="W80" s="23">
        <f>MATCH(LARGE($V$29:$V$43,9),$V$29:$V$43,0)</f>
        <v>15</v>
      </c>
    </row>
    <row r="81" spans="2:23" x14ac:dyDescent="0.25">
      <c r="B81" s="35" t="str">
        <f t="shared" si="5"/>
        <v>Correa Reforzada Canina 3m</v>
      </c>
      <c r="C81" s="51" t="str">
        <f t="shared" si="6"/>
        <v>Mascotas</v>
      </c>
      <c r="D81" s="36">
        <f t="shared" si="7"/>
        <v>138</v>
      </c>
      <c r="E81" s="36">
        <f t="shared" si="8"/>
        <v>1269600</v>
      </c>
      <c r="F81" s="38">
        <f t="shared" si="9"/>
        <v>3.1318299102583713E-2</v>
      </c>
      <c r="G81" s="38">
        <f t="shared" si="14"/>
        <v>0.90220431884672903</v>
      </c>
      <c r="H81" s="52" t="str">
        <f t="shared" si="10"/>
        <v>B</v>
      </c>
      <c r="I81" s="38">
        <f t="shared" si="11"/>
        <v>0.40217391304347827</v>
      </c>
      <c r="J81" s="36">
        <f t="shared" si="12"/>
        <v>9200</v>
      </c>
      <c r="K81" s="53" t="str">
        <f t="shared" si="13"/>
        <v>Base (2 %)</v>
      </c>
      <c r="L81" s="54">
        <v>10</v>
      </c>
      <c r="W81" s="23">
        <f>MATCH(LARGE($V$29:$V$43,10),$V$29:$V$43,0)</f>
        <v>5</v>
      </c>
    </row>
    <row r="82" spans="2:23" x14ac:dyDescent="0.25">
      <c r="B82" s="35" t="str">
        <f t="shared" si="5"/>
        <v>Yerba Mate Premium 1kg</v>
      </c>
      <c r="C82" s="51" t="str">
        <f t="shared" si="6"/>
        <v>Alimentos</v>
      </c>
      <c r="D82" s="36">
        <f t="shared" si="7"/>
        <v>268</v>
      </c>
      <c r="E82" s="36">
        <f t="shared" si="8"/>
        <v>1018400</v>
      </c>
      <c r="F82" s="38">
        <f t="shared" si="9"/>
        <v>2.5121735827088258E-2</v>
      </c>
      <c r="G82" s="38">
        <f t="shared" si="14"/>
        <v>0.92732605467381723</v>
      </c>
      <c r="H82" s="52" t="str">
        <f t="shared" si="10"/>
        <v>B</v>
      </c>
      <c r="I82" s="38">
        <f t="shared" si="11"/>
        <v>0.34210526315789475</v>
      </c>
      <c r="J82" s="36">
        <f t="shared" si="12"/>
        <v>3800</v>
      </c>
      <c r="K82" s="53" t="str">
        <f t="shared" si="13"/>
        <v>Base (2 %)</v>
      </c>
      <c r="L82" s="54">
        <v>11</v>
      </c>
      <c r="W82" s="23">
        <f>MATCH(LARGE($V$29:$V$43,11),$V$29:$V$43,0)</f>
        <v>1</v>
      </c>
    </row>
    <row r="83" spans="2:23" x14ac:dyDescent="0.25">
      <c r="B83" s="35" t="str">
        <f t="shared" si="5"/>
        <v>Mates de Madera Calada</v>
      </c>
      <c r="C83" s="51" t="str">
        <f t="shared" si="6"/>
        <v>Bazar</v>
      </c>
      <c r="D83" s="36">
        <f t="shared" si="7"/>
        <v>107</v>
      </c>
      <c r="E83" s="36">
        <f t="shared" si="8"/>
        <v>909500</v>
      </c>
      <c r="F83" s="38">
        <f t="shared" si="9"/>
        <v>2.2435407241493292E-2</v>
      </c>
      <c r="G83" s="38">
        <f t="shared" si="14"/>
        <v>0.94976146191531052</v>
      </c>
      <c r="H83" s="52" t="str">
        <f t="shared" si="10"/>
        <v>B</v>
      </c>
      <c r="I83" s="38">
        <f t="shared" si="11"/>
        <v>0.43529411764705883</v>
      </c>
      <c r="J83" s="36">
        <f t="shared" si="12"/>
        <v>8500</v>
      </c>
      <c r="K83" s="53" t="str">
        <f t="shared" si="13"/>
        <v>Base (2 %)</v>
      </c>
      <c r="L83" s="54">
        <v>12</v>
      </c>
      <c r="W83" s="23">
        <f>MATCH(LARGE($V$29:$V$43,12),$V$29:$V$43,0)</f>
        <v>10</v>
      </c>
    </row>
    <row r="84" spans="2:23" x14ac:dyDescent="0.25">
      <c r="B84" s="35" t="str">
        <f t="shared" si="5"/>
        <v>Shampoo Canino Neutro 500ml</v>
      </c>
      <c r="C84" s="51" t="str">
        <f t="shared" si="6"/>
        <v>Mascotas</v>
      </c>
      <c r="D84" s="36">
        <f t="shared" si="7"/>
        <v>144</v>
      </c>
      <c r="E84" s="36">
        <f t="shared" si="8"/>
        <v>892800</v>
      </c>
      <c r="F84" s="38">
        <f t="shared" si="9"/>
        <v>2.2023454189340531E-2</v>
      </c>
      <c r="G84" s="38">
        <f t="shared" si="14"/>
        <v>0.97178491610465101</v>
      </c>
      <c r="H84" s="52" t="str">
        <f t="shared" si="10"/>
        <v>B</v>
      </c>
      <c r="I84" s="38">
        <f t="shared" si="11"/>
        <v>0.38709677419354838</v>
      </c>
      <c r="J84" s="36">
        <f t="shared" si="12"/>
        <v>6200</v>
      </c>
      <c r="K84" s="53" t="str">
        <f t="shared" si="13"/>
        <v>Base (2 %)</v>
      </c>
      <c r="L84" s="54">
        <v>13</v>
      </c>
      <c r="W84" s="23">
        <f>MATCH(LARGE($V$29:$V$43,13),$V$29:$V$43,0)</f>
        <v>13</v>
      </c>
    </row>
    <row r="85" spans="2:23" x14ac:dyDescent="0.25">
      <c r="B85" s="35" t="str">
        <f t="shared" si="5"/>
        <v>Juguete Mordillo Goma</v>
      </c>
      <c r="C85" s="51" t="str">
        <f t="shared" si="6"/>
        <v>Mascotas</v>
      </c>
      <c r="D85" s="36">
        <f t="shared" si="7"/>
        <v>144</v>
      </c>
      <c r="E85" s="36">
        <f t="shared" si="8"/>
        <v>691200</v>
      </c>
      <c r="F85" s="38">
        <f t="shared" si="9"/>
        <v>1.7050416146586218E-2</v>
      </c>
      <c r="G85" s="38">
        <f t="shared" si="14"/>
        <v>0.98883533225123721</v>
      </c>
      <c r="H85" s="52" t="str">
        <f t="shared" si="10"/>
        <v>C</v>
      </c>
      <c r="I85" s="38">
        <f t="shared" si="11"/>
        <v>0.4375</v>
      </c>
      <c r="J85" s="36">
        <f t="shared" si="12"/>
        <v>4800</v>
      </c>
      <c r="K85" s="53" t="str">
        <f t="shared" si="13"/>
        <v>Base (2 %)</v>
      </c>
      <c r="L85" s="54">
        <v>14</v>
      </c>
      <c r="W85" s="23">
        <f>MATCH(LARGE($V$29:$V$43,14),$V$29:$V$43,0)</f>
        <v>6</v>
      </c>
    </row>
    <row r="86" spans="2:23" x14ac:dyDescent="0.25">
      <c r="B86" s="35" t="str">
        <f t="shared" si="5"/>
        <v>Snack Premios Perro 250g</v>
      </c>
      <c r="C86" s="51" t="str">
        <f t="shared" si="6"/>
        <v>Mascotas</v>
      </c>
      <c r="D86" s="36">
        <f t="shared" si="7"/>
        <v>146</v>
      </c>
      <c r="E86" s="36">
        <f t="shared" si="8"/>
        <v>452600</v>
      </c>
      <c r="F86" s="38">
        <f t="shared" si="9"/>
        <v>1.1164667748762907E-2</v>
      </c>
      <c r="G86" s="38">
        <f t="shared" si="14"/>
        <v>1.0000000000000002</v>
      </c>
      <c r="H86" s="52" t="str">
        <f t="shared" si="10"/>
        <v>C</v>
      </c>
      <c r="I86" s="38">
        <f t="shared" si="11"/>
        <v>0.41935483870967744</v>
      </c>
      <c r="J86" s="36">
        <f t="shared" si="12"/>
        <v>3100</v>
      </c>
      <c r="K86" s="53" t="str">
        <f t="shared" si="13"/>
        <v>Base (2 %)</v>
      </c>
      <c r="L86" s="54">
        <v>15</v>
      </c>
      <c r="W86" s="23">
        <f>MATCH(LARGE($V$29:$V$43,15),$V$29:$V$43,0)</f>
        <v>14</v>
      </c>
    </row>
    <row r="110" spans="2:13" ht="21.95" customHeight="1" x14ac:dyDescent="0.25">
      <c r="B110" s="69" t="s">
        <v>406</v>
      </c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</row>
    <row r="111" spans="2:13" x14ac:dyDescent="0.25">
      <c r="B111" s="32" t="s">
        <v>407</v>
      </c>
    </row>
    <row r="112" spans="2:13" ht="27.95" customHeight="1" x14ac:dyDescent="0.25">
      <c r="B112" s="33" t="s">
        <v>408</v>
      </c>
      <c r="C112" s="34" t="s">
        <v>409</v>
      </c>
      <c r="D112" s="34" t="s">
        <v>392</v>
      </c>
      <c r="E112" s="34" t="s">
        <v>410</v>
      </c>
      <c r="F112" s="34" t="s">
        <v>411</v>
      </c>
      <c r="G112" s="80" t="s">
        <v>412</v>
      </c>
      <c r="H112" s="81"/>
      <c r="I112" s="81"/>
      <c r="J112" s="81"/>
      <c r="K112" s="81"/>
      <c r="L112" s="81"/>
      <c r="M112" s="81"/>
    </row>
    <row r="113" spans="2:13" ht="18" customHeight="1" x14ac:dyDescent="0.25">
      <c r="B113" s="35" t="s">
        <v>413</v>
      </c>
      <c r="C113" s="36">
        <f>SUMPRODUCT(1-EXACT(ventas_raw_200[Sucursal],ventas_raw_200[Sucursal_limpio]))</f>
        <v>109</v>
      </c>
      <c r="D113" s="38">
        <f>IFERROR(C113/ROWS(ventas_raw_200[ID_Transaccion]),0)</f>
        <v>0.54500000000000004</v>
      </c>
      <c r="E113" s="52" t="str">
        <f t="shared" ref="E113:E122" si="15">IF(C113=0,"OK","Revisar")</f>
        <v>Revisar</v>
      </c>
      <c r="F113" s="55" t="s">
        <v>414</v>
      </c>
      <c r="G113" s="74" t="s">
        <v>415</v>
      </c>
      <c r="H113" s="72"/>
      <c r="I113" s="72"/>
      <c r="J113" s="72"/>
      <c r="K113" s="72"/>
      <c r="L113" s="72"/>
      <c r="M113" s="72"/>
    </row>
    <row r="114" spans="2:13" ht="18" customHeight="1" x14ac:dyDescent="0.25">
      <c r="B114" s="35" t="s">
        <v>416</v>
      </c>
      <c r="C114" s="36">
        <f>SUMPRODUCT(1-EXACT(ventas_raw_200[Vendedor],ventas_raw_200[Vendedor_limpio]))</f>
        <v>114</v>
      </c>
      <c r="D114" s="38">
        <f>IFERROR(C114/ROWS(ventas_raw_200[ID_Transaccion]),0)</f>
        <v>0.56999999999999995</v>
      </c>
      <c r="E114" s="52" t="str">
        <f t="shared" si="15"/>
        <v>Revisar</v>
      </c>
      <c r="F114" s="55" t="s">
        <v>414</v>
      </c>
      <c r="G114" s="74" t="s">
        <v>417</v>
      </c>
      <c r="H114" s="72"/>
      <c r="I114" s="72"/>
      <c r="J114" s="72"/>
      <c r="K114" s="72"/>
      <c r="L114" s="72"/>
      <c r="M114" s="72"/>
    </row>
    <row r="115" spans="2:13" ht="26.1" customHeight="1" x14ac:dyDescent="0.25">
      <c r="B115" s="35" t="s">
        <v>418</v>
      </c>
      <c r="C115" s="36">
        <f>SUMPRODUCT(1-EXACT(ventas_raw_200[Producto],ventas_raw_200[Producto_limpio]))</f>
        <v>146</v>
      </c>
      <c r="D115" s="38">
        <f>IFERROR(C115/ROWS(ventas_raw_200[ID_Transaccion]),0)</f>
        <v>0.73</v>
      </c>
      <c r="E115" s="52" t="str">
        <f t="shared" si="15"/>
        <v>Revisar</v>
      </c>
      <c r="F115" s="55" t="s">
        <v>414</v>
      </c>
      <c r="G115" s="74" t="s">
        <v>419</v>
      </c>
      <c r="H115" s="72"/>
      <c r="I115" s="72"/>
      <c r="J115" s="72"/>
      <c r="K115" s="72"/>
      <c r="L115" s="72"/>
      <c r="M115" s="72"/>
    </row>
    <row r="116" spans="2:13" ht="18" customHeight="1" x14ac:dyDescent="0.25">
      <c r="B116" s="35" t="s">
        <v>420</v>
      </c>
      <c r="C116" s="36">
        <f>SUMPRODUCT(--(ventas_raw_200[Largo_ID]&lt;&gt;ventas_raw_200[Largo_ID2]))</f>
        <v>25</v>
      </c>
      <c r="D116" s="38">
        <f>IFERROR(C116/ROWS(ventas_raw_200[ID_Transaccion]),0)</f>
        <v>0.125</v>
      </c>
      <c r="E116" s="52" t="str">
        <f t="shared" si="15"/>
        <v>Revisar</v>
      </c>
      <c r="F116" s="55" t="s">
        <v>414</v>
      </c>
      <c r="G116" s="74" t="s">
        <v>421</v>
      </c>
      <c r="H116" s="72"/>
      <c r="I116" s="72"/>
      <c r="J116" s="72"/>
      <c r="K116" s="72"/>
      <c r="L116" s="72"/>
      <c r="M116" s="72"/>
    </row>
    <row r="117" spans="2:13" ht="18" customHeight="1" x14ac:dyDescent="0.25">
      <c r="B117" s="35" t="s">
        <v>422</v>
      </c>
      <c r="C117" s="36">
        <f>ROWS(ventas_raw_200[ID_Transaccion])-SUMPRODUCT(1/COUNTIF(ventas_raw_200[ID_Transaccion_Limpio],ventas_raw_200[ID_Transaccion_Limpio]))</f>
        <v>0</v>
      </c>
      <c r="D117" s="38">
        <f>IFERROR(C117/ROWS(ventas_raw_200[ID_Transaccion]),0)</f>
        <v>0</v>
      </c>
      <c r="E117" s="52" t="str">
        <f t="shared" si="15"/>
        <v>OK</v>
      </c>
      <c r="F117" s="55" t="s">
        <v>414</v>
      </c>
      <c r="G117" s="74" t="s">
        <v>423</v>
      </c>
      <c r="H117" s="72"/>
      <c r="I117" s="72"/>
      <c r="J117" s="72"/>
      <c r="K117" s="72"/>
      <c r="L117" s="72"/>
      <c r="M117" s="72"/>
    </row>
    <row r="118" spans="2:13" ht="26.1" customHeight="1" x14ac:dyDescent="0.25">
      <c r="B118" s="35" t="s">
        <v>424</v>
      </c>
      <c r="C118" s="36">
        <f>COUNTIF(ventas_raw_200[Cantidad],"&lt;0")</f>
        <v>3</v>
      </c>
      <c r="D118" s="38">
        <f>IFERROR(C118/ROWS(ventas_raw_200[ID_Transaccion]),0)</f>
        <v>1.4999999999999999E-2</v>
      </c>
      <c r="E118" s="52" t="str">
        <f t="shared" si="15"/>
        <v>Revisar</v>
      </c>
      <c r="F118" s="36">
        <f>SUMPRODUCT((ventas_raw_200[Cantidad]&lt;0)*ventas_raw_200[Total_Venta])</f>
        <v>34200</v>
      </c>
      <c r="G118" s="74" t="s">
        <v>425</v>
      </c>
      <c r="H118" s="72"/>
      <c r="I118" s="72"/>
      <c r="J118" s="72"/>
      <c r="K118" s="72"/>
      <c r="L118" s="72"/>
      <c r="M118" s="72"/>
    </row>
    <row r="119" spans="2:13" ht="18" customHeight="1" x14ac:dyDescent="0.25">
      <c r="B119" s="35" t="s">
        <v>426</v>
      </c>
      <c r="C119" s="36">
        <f>COUNTIF(ventas_raw_200[Categoria_oficial],"No encontrada")</f>
        <v>0</v>
      </c>
      <c r="D119" s="38">
        <f>IFERROR(C119/ROWS(ventas_raw_200[ID_Transaccion]),0)</f>
        <v>0</v>
      </c>
      <c r="E119" s="52" t="str">
        <f t="shared" si="15"/>
        <v>OK</v>
      </c>
      <c r="F119" s="55" t="s">
        <v>414</v>
      </c>
      <c r="G119" s="74" t="s">
        <v>427</v>
      </c>
      <c r="H119" s="72"/>
      <c r="I119" s="72"/>
      <c r="J119" s="72"/>
      <c r="K119" s="72"/>
      <c r="L119" s="72"/>
      <c r="M119" s="72"/>
    </row>
    <row r="120" spans="2:13" ht="18" customHeight="1" x14ac:dyDescent="0.25">
      <c r="B120" s="35" t="s">
        <v>428</v>
      </c>
      <c r="C120" s="36">
        <f>SUMPRODUCT(--(ventas_raw_200[Precio_Unitario]&lt;&gt;SUMIFS(maestro_productos_15[Precio_Lista],maestro_productos_15[Producto],ventas_raw_200[Producto_limpio])))</f>
        <v>0</v>
      </c>
      <c r="D120" s="38">
        <f>IFERROR(C120/ROWS(ventas_raw_200[ID_Transaccion]),0)</f>
        <v>0</v>
      </c>
      <c r="E120" s="52" t="str">
        <f t="shared" si="15"/>
        <v>OK</v>
      </c>
      <c r="F120" s="55" t="s">
        <v>414</v>
      </c>
      <c r="G120" s="74" t="s">
        <v>429</v>
      </c>
      <c r="H120" s="72"/>
      <c r="I120" s="72"/>
      <c r="J120" s="72"/>
      <c r="K120" s="72"/>
      <c r="L120" s="72"/>
      <c r="M120" s="72"/>
    </row>
    <row r="121" spans="2:13" ht="18" customHeight="1" x14ac:dyDescent="0.25">
      <c r="B121" s="35" t="s">
        <v>430</v>
      </c>
      <c r="C121" s="36">
        <f>SUMPRODUCT(--(ventas_raw_200[Costo_Unitario]&lt;&gt;SUMIFS(maestro_productos_15[Costo_Base],maestro_productos_15[Producto],ventas_raw_200[Producto_limpio])))</f>
        <v>0</v>
      </c>
      <c r="D121" s="38">
        <f>IFERROR(C121/ROWS(ventas_raw_200[ID_Transaccion]),0)</f>
        <v>0</v>
      </c>
      <c r="E121" s="52" t="str">
        <f t="shared" si="15"/>
        <v>OK</v>
      </c>
      <c r="F121" s="55" t="s">
        <v>414</v>
      </c>
      <c r="G121" s="74" t="s">
        <v>431</v>
      </c>
      <c r="H121" s="72"/>
      <c r="I121" s="72"/>
      <c r="J121" s="72"/>
      <c r="K121" s="72"/>
      <c r="L121" s="72"/>
      <c r="M121" s="72"/>
    </row>
    <row r="122" spans="2:13" ht="18" customHeight="1" x14ac:dyDescent="0.25">
      <c r="B122" s="56" t="s">
        <v>432</v>
      </c>
      <c r="C122" s="57">
        <f>SUMPRODUCT(--(((1-EXACT(ventas_raw_200[Sucursal],ventas_raw_200[Sucursal_limpio]))+(1-EXACT(ventas_raw_200[Vendedor],ventas_raw_200[Vendedor_limpio]))+(1-EXACT(ventas_raw_200[Producto],ventas_raw_200[Producto_limpio]))+(ventas_raw_200[Largo_ID]&lt;&gt;ventas_raw_200[Largo_ID2])+(ventas_raw_200[Cantidad]&lt;0))&gt;0))</f>
        <v>194</v>
      </c>
      <c r="D122" s="58">
        <f>IFERROR(C122/ROWS(ventas_raw_200[ID_Transaccion]),0)</f>
        <v>0.97</v>
      </c>
      <c r="E122" s="59" t="str">
        <f t="shared" si="15"/>
        <v>Revisar</v>
      </c>
      <c r="F122" s="60" t="s">
        <v>414</v>
      </c>
      <c r="G122" s="89" t="s">
        <v>433</v>
      </c>
      <c r="H122" s="90"/>
      <c r="I122" s="90"/>
      <c r="J122" s="90"/>
      <c r="K122" s="90"/>
      <c r="L122" s="90"/>
      <c r="M122" s="90"/>
    </row>
    <row r="125" spans="2:13" ht="21.95" customHeight="1" x14ac:dyDescent="0.25">
      <c r="B125" s="69" t="s">
        <v>434</v>
      </c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</row>
    <row r="126" spans="2:13" x14ac:dyDescent="0.25">
      <c r="B126" s="32" t="s">
        <v>435</v>
      </c>
    </row>
    <row r="127" spans="2:13" ht="27.95" customHeight="1" x14ac:dyDescent="0.25">
      <c r="B127" s="61" t="s">
        <v>436</v>
      </c>
      <c r="C127" s="62" t="s">
        <v>437</v>
      </c>
      <c r="E127" s="86" t="s">
        <v>438</v>
      </c>
      <c r="F127" s="81"/>
      <c r="G127" s="34" t="s">
        <v>439</v>
      </c>
      <c r="H127" s="34" t="s">
        <v>440</v>
      </c>
      <c r="I127" s="34" t="s">
        <v>441</v>
      </c>
    </row>
    <row r="128" spans="2:13" x14ac:dyDescent="0.25">
      <c r="B128" s="35" t="s">
        <v>442</v>
      </c>
      <c r="C128" s="63">
        <v>25000</v>
      </c>
      <c r="E128" s="84" t="s">
        <v>443</v>
      </c>
      <c r="F128" s="72"/>
      <c r="G128" s="46">
        <f>SUMPRODUCT(ventas_raw_200[Cantidad_Auditada]*ventas_raw_200[Precio_Unitario]*($C$129+(ventas_raw_200[Precio_Unitario]&gt;$C$128)*($C$130-$C$129)+(ventas_raw_200[Precio_Unitario]&gt;$C$128)*(ventas_raw_200[Sucursal_limpio]="Corrientes")*($C$131-$C$130)))</f>
        <v>1392822</v>
      </c>
      <c r="H128" s="64">
        <f>$C$132*SUM(ventas_raw_200[Ganancia])</f>
        <v>1422620</v>
      </c>
      <c r="I128" s="65">
        <f>H128-G128</f>
        <v>29798</v>
      </c>
    </row>
    <row r="129" spans="2:13" x14ac:dyDescent="0.25">
      <c r="B129" s="35" t="s">
        <v>444</v>
      </c>
      <c r="C129" s="66">
        <v>0.02</v>
      </c>
      <c r="E129" s="84" t="s">
        <v>445</v>
      </c>
      <c r="F129" s="72"/>
      <c r="G129" s="67">
        <f>IFERROR(G128/SUM(ventas_raw_200[Total_Venta]),0)</f>
        <v>3.4357920599132681E-2</v>
      </c>
      <c r="H129" s="68">
        <f>IFERROR(H128/SUM(ventas_raw_200[Total_Venta]),0)</f>
        <v>3.5092973116979863E-2</v>
      </c>
      <c r="I129" s="37">
        <f>H129-G129</f>
        <v>7.3505251784718173E-4</v>
      </c>
    </row>
    <row r="130" spans="2:13" x14ac:dyDescent="0.25">
      <c r="B130" s="35" t="s">
        <v>446</v>
      </c>
      <c r="C130" s="66">
        <v>0.04</v>
      </c>
      <c r="E130" s="84" t="s">
        <v>447</v>
      </c>
      <c r="F130" s="72"/>
      <c r="G130" s="46">
        <f>SUM(ventas_raw_200[Ganancia])-G128</f>
        <v>12833378</v>
      </c>
      <c r="H130" s="64">
        <f>SUM(ventas_raw_200[Ganancia])-H128</f>
        <v>12803580</v>
      </c>
      <c r="I130" s="65">
        <f>H130-G130</f>
        <v>-29798</v>
      </c>
    </row>
    <row r="131" spans="2:13" ht="27.95" customHeight="1" x14ac:dyDescent="0.25">
      <c r="B131" s="35" t="s">
        <v>448</v>
      </c>
      <c r="C131" s="66">
        <v>0.06</v>
      </c>
      <c r="E131" s="84" t="s">
        <v>449</v>
      </c>
      <c r="F131" s="72"/>
      <c r="G131" s="67">
        <f>IFERROR(SUMPRODUCT((ventas_raw_200[Precio_Unitario]&gt;$C$128)*ventas_raw_200[Cantidad_Auditada]*ventas_raw_200[Precio_Unitario]*($C$129+(ventas_raw_200[Precio_Unitario]&gt;$C$128)*($C$130-$C$129)+(ventas_raw_200[Precio_Unitario]&gt;$C$128)*(ventas_raw_200[Sucursal_limpio]="Corrientes")*($C$131-$C$130)))/G128,0)</f>
        <v>0.75847452151100425</v>
      </c>
      <c r="H131" s="68">
        <f>IFERROR(SUMPRODUCT((ventas_raw_200[Precio_Unitario]&gt;$C$128)*ventas_raw_200[Ganancia])/SUM(ventas_raw_200[Ganancia]),0)</f>
        <v>0.56188581631075063</v>
      </c>
      <c r="I131" s="37">
        <f>H131-G131</f>
        <v>-0.19658870520025362</v>
      </c>
    </row>
    <row r="132" spans="2:13" x14ac:dyDescent="0.25">
      <c r="B132" s="35" t="s">
        <v>450</v>
      </c>
      <c r="C132" s="66">
        <v>0.1</v>
      </c>
      <c r="E132" s="87" t="s">
        <v>451</v>
      </c>
      <c r="F132" s="72"/>
      <c r="G132" s="46">
        <f>SUM(ventas_raw_200[Comision])</f>
        <v>1392822</v>
      </c>
      <c r="H132" s="71" t="str">
        <f>IF(ABS(G128-G132)&lt;1,"✓ cuadra con los parámetros por defecto","Parámetros modificados: difiere de la tabla")</f>
        <v>✓ cuadra con los parámetros por defecto</v>
      </c>
      <c r="I132" s="72"/>
      <c r="J132" s="72"/>
      <c r="K132" s="72"/>
    </row>
    <row r="133" spans="2:13" x14ac:dyDescent="0.25">
      <c r="B133" s="88" t="s">
        <v>452</v>
      </c>
      <c r="C133" s="72"/>
    </row>
    <row r="134" spans="2:13" ht="18" customHeight="1" x14ac:dyDescent="0.25">
      <c r="B134" s="72"/>
      <c r="C134" s="72"/>
      <c r="E134" s="85" t="s">
        <v>453</v>
      </c>
      <c r="F134" s="72"/>
      <c r="G134" s="72"/>
      <c r="H134" s="72"/>
      <c r="I134" s="72"/>
      <c r="J134" s="72"/>
      <c r="K134" s="72"/>
      <c r="L134" s="72"/>
      <c r="M134" s="72"/>
    </row>
    <row r="135" spans="2:13" x14ac:dyDescent="0.25">
      <c r="E135" s="72"/>
      <c r="F135" s="72"/>
      <c r="G135" s="72"/>
      <c r="H135" s="72"/>
      <c r="I135" s="72"/>
      <c r="J135" s="72"/>
      <c r="K135" s="72"/>
      <c r="L135" s="72"/>
      <c r="M135" s="72"/>
    </row>
  </sheetData>
  <mergeCells count="60">
    <mergeCell ref="B11:D11"/>
    <mergeCell ref="B2:M2"/>
    <mergeCell ref="E10:G10"/>
    <mergeCell ref="E12:F12"/>
    <mergeCell ref="G114:M114"/>
    <mergeCell ref="B6:D6"/>
    <mergeCell ref="K12:L12"/>
    <mergeCell ref="K10:M10"/>
    <mergeCell ref="K8:L8"/>
    <mergeCell ref="K6:M6"/>
    <mergeCell ref="B7:D7"/>
    <mergeCell ref="H10:J10"/>
    <mergeCell ref="E130:F130"/>
    <mergeCell ref="E134:M135"/>
    <mergeCell ref="E129:F129"/>
    <mergeCell ref="B23:M23"/>
    <mergeCell ref="B14:M14"/>
    <mergeCell ref="G113:M113"/>
    <mergeCell ref="B17:M17"/>
    <mergeCell ref="E127:F127"/>
    <mergeCell ref="E131:F131"/>
    <mergeCell ref="E132:F132"/>
    <mergeCell ref="B133:C134"/>
    <mergeCell ref="E128:F128"/>
    <mergeCell ref="G120:M120"/>
    <mergeCell ref="B20:M20"/>
    <mergeCell ref="G122:M122"/>
    <mergeCell ref="B110:M110"/>
    <mergeCell ref="B1:M1"/>
    <mergeCell ref="G119:M119"/>
    <mergeCell ref="H11:J11"/>
    <mergeCell ref="E8:F8"/>
    <mergeCell ref="H7:J7"/>
    <mergeCell ref="E6:G6"/>
    <mergeCell ref="B12:C12"/>
    <mergeCell ref="B10:D10"/>
    <mergeCell ref="B69:M69"/>
    <mergeCell ref="E11:G11"/>
    <mergeCell ref="B19:M19"/>
    <mergeCell ref="G115:M115"/>
    <mergeCell ref="G117:M117"/>
    <mergeCell ref="B8:C8"/>
    <mergeCell ref="E7:G7"/>
    <mergeCell ref="K7:M7"/>
    <mergeCell ref="B125:M125"/>
    <mergeCell ref="H132:K132"/>
    <mergeCell ref="B59:M59"/>
    <mergeCell ref="H4:M4"/>
    <mergeCell ref="G118:M118"/>
    <mergeCell ref="G121:M121"/>
    <mergeCell ref="B18:M18"/>
    <mergeCell ref="H8:I8"/>
    <mergeCell ref="B21:M21"/>
    <mergeCell ref="K11:M11"/>
    <mergeCell ref="H6:J6"/>
    <mergeCell ref="G116:M116"/>
    <mergeCell ref="G112:M112"/>
    <mergeCell ref="B47:M47"/>
    <mergeCell ref="B16:M16"/>
    <mergeCell ref="H12:I12"/>
  </mergeCells>
  <conditionalFormatting sqref="C50:F53">
    <cfRule type="colorScale" priority="6">
      <colorScale>
        <cfvo type="min"/>
        <cfvo type="max"/>
        <color rgb="FFFFFFFF"/>
        <color rgb="FF2A7F8E"/>
      </colorScale>
    </cfRule>
  </conditionalFormatting>
  <conditionalFormatting sqref="E62:E65">
    <cfRule type="dataBar" priority="8">
      <dataBar>
        <cfvo type="num" val="0"/>
        <cfvo type="max"/>
        <color rgb="FF7FB3BC"/>
      </dataBar>
    </cfRule>
  </conditionalFormatting>
  <conditionalFormatting sqref="E72:E86">
    <cfRule type="dataBar" priority="10">
      <dataBar>
        <cfvo type="num" val="0"/>
        <cfvo type="max"/>
        <color rgb="FF7FB3BC"/>
      </dataBar>
    </cfRule>
  </conditionalFormatting>
  <conditionalFormatting sqref="E113:E122">
    <cfRule type="cellIs" dxfId="8" priority="15" operator="equal">
      <formula>"OK"</formula>
    </cfRule>
    <cfRule type="cellIs" dxfId="7" priority="16" operator="equal">
      <formula>"Revisar"</formula>
    </cfRule>
  </conditionalFormatting>
  <conditionalFormatting sqref="F27:F28">
    <cfRule type="cellIs" dxfId="6" priority="1" operator="lessThan">
      <formula>0</formula>
    </cfRule>
    <cfRule type="cellIs" dxfId="5" priority="2" operator="greaterThan">
      <formula>0</formula>
    </cfRule>
  </conditionalFormatting>
  <conditionalFormatting sqref="H27:H28">
    <cfRule type="cellIs" dxfId="4" priority="4" operator="greaterThan">
      <formula>0</formula>
    </cfRule>
  </conditionalFormatting>
  <conditionalFormatting sqref="H27:H29">
    <cfRule type="cellIs" dxfId="3" priority="3" operator="lessThan">
      <formula>0</formula>
    </cfRule>
  </conditionalFormatting>
  <conditionalFormatting sqref="H72:H86">
    <cfRule type="cellIs" dxfId="2" priority="11" operator="equal">
      <formula>"A"</formula>
    </cfRule>
    <cfRule type="cellIs" dxfId="1" priority="12" operator="equal">
      <formula>"B"</formula>
    </cfRule>
    <cfRule type="cellIs" dxfId="0" priority="13" operator="equal">
      <formula>"C"</formula>
    </cfRule>
  </conditionalFormatting>
  <conditionalFormatting sqref="I72:I86">
    <cfRule type="colorScale" priority="14">
      <colorScale>
        <cfvo type="min"/>
        <cfvo type="percentile" val="50"/>
        <cfvo type="max"/>
        <color rgb="FFF9DCD8"/>
        <color rgb="FFFFFFFF"/>
        <color rgb="FFD5F0DD"/>
      </colorScale>
    </cfRule>
  </conditionalFormatting>
  <conditionalFormatting sqref="J50:J53">
    <cfRule type="colorScale" priority="7">
      <colorScale>
        <cfvo type="min"/>
        <cfvo type="max"/>
        <color rgb="FFFFFFFF"/>
        <color rgb="FFF5B7B1"/>
      </colorScale>
    </cfRule>
  </conditionalFormatting>
  <conditionalFormatting sqref="J62:J65">
    <cfRule type="colorScale" priority="9">
      <colorScale>
        <cfvo type="min"/>
        <cfvo type="max"/>
        <color rgb="FFFFFFFF"/>
        <color rgb="FFF5B7B1"/>
      </colorScale>
    </cfRule>
  </conditionalFormatting>
  <dataValidations count="2">
    <dataValidation type="list" showErrorMessage="1" errorTitle="Valor no válido" error="Elige un valor de la lista." sqref="C4" xr:uid="{00000000-0002-0000-0400-000000000000}">
      <formula1>$P$3:$P$7</formula1>
    </dataValidation>
    <dataValidation type="list" showErrorMessage="1" errorTitle="Valor no válido" error="Elige un valor de la lista." sqref="F4" xr:uid="{00000000-0002-0000-0400-000001000000}">
      <formula1>$Q$3:$Q$6</formula1>
    </dataValidation>
  </dataValidation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B99A9-22F9-4EB0-BAE5-D4ECF83B53C2}">
  <dimension ref="A1:B5"/>
  <sheetViews>
    <sheetView workbookViewId="0"/>
  </sheetViews>
  <sheetFormatPr baseColWidth="10" defaultRowHeight="15" x14ac:dyDescent="0.25"/>
  <cols>
    <col min="1" max="1" width="15.7109375" bestFit="1" customWidth="1"/>
    <col min="2" max="2" width="11.5703125" bestFit="1" customWidth="1"/>
  </cols>
  <sheetData>
    <row r="1" spans="1:2" x14ac:dyDescent="0.25">
      <c r="A1" s="13" t="s">
        <v>309</v>
      </c>
      <c r="B1" s="13" t="s">
        <v>310</v>
      </c>
    </row>
    <row r="2" spans="1:2" x14ac:dyDescent="0.25">
      <c r="A2" t="s">
        <v>281</v>
      </c>
      <c r="B2" s="12" cm="1">
        <f t="array" ref="B2">SUMPRODUCT((ventas_raw_200[Categoria_oficial]=A2)*ventas_raw_200[Cantidad_Auditada]*ventas_raw_200[Precio_Unitario])</f>
        <v>19763000</v>
      </c>
    </row>
    <row r="3" spans="1:2" x14ac:dyDescent="0.25">
      <c r="A3" t="s">
        <v>278</v>
      </c>
      <c r="B3" s="12" cm="1">
        <f t="array" ref="B3">SUMPRODUCT((ventas_raw_200[Categoria_oficial]=A3)*ventas_raw_200[Cantidad_Auditada]*ventas_raw_200[Precio_Unitario])</f>
        <v>9850700</v>
      </c>
    </row>
    <row r="4" spans="1:2" x14ac:dyDescent="0.25">
      <c r="A4" t="s">
        <v>292</v>
      </c>
      <c r="B4" s="12" cm="1">
        <f t="array" ref="B4">SUMPRODUCT((ventas_raw_200[Categoria_oficial]=A4)*ventas_raw_200[Cantidad_Auditada]*ventas_raw_200[Precio_Unitario])</f>
        <v>6317500</v>
      </c>
    </row>
    <row r="5" spans="1:2" x14ac:dyDescent="0.25">
      <c r="A5" t="s">
        <v>275</v>
      </c>
      <c r="B5" s="12" cm="1">
        <f t="array" ref="B5">SUMPRODUCT((ventas_raw_200[Categoria_oficial]=A5)*ventas_raw_200[Cantidad_Auditada]*ventas_raw_200[Precio_Unitario])</f>
        <v>4607400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6DA0ED-4029-409E-A45D-881ACBDA5C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ventas_raw_200</vt:lpstr>
      <vt:lpstr>maestro_productos_15</vt:lpstr>
      <vt:lpstr>Reporte_consolidado</vt:lpstr>
      <vt:lpstr>Dashboard_Ejecutivo</vt:lpstr>
      <vt:lpstr>Dashboard_Alternativo CLaude</vt:lpstr>
      <vt:lpstr>Chart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 Pubill Solana</dc:creator>
  <cp:lastModifiedBy>Eduard Pubill Solana</cp:lastModifiedBy>
  <dcterms:created xsi:type="dcterms:W3CDTF">2026-10-23T16:42:39Z</dcterms:created>
  <dcterms:modified xsi:type="dcterms:W3CDTF">2026-10-26T17:49:10Z</dcterms:modified>
</cp:coreProperties>
</file>