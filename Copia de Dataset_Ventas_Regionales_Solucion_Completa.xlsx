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Original" sheetId="1" r:id="rId5"/>
    <sheet state="visible" name="Modulo_1_Resolucion" sheetId="2" r:id="rId6"/>
    <sheet state="visible" name="Maestro_Productos_Precios" sheetId="3" r:id="rId7"/>
    <sheet state="visible" name="Reporte_Consolidado_M1" sheetId="4" r:id="rId8"/>
    <sheet state="visible" name="Dashboard_Ejecutivo" sheetId="5" r:id="rId9"/>
  </sheets>
  <definedNames/>
  <calcPr/>
</workbook>
</file>

<file path=xl/sharedStrings.xml><?xml version="1.0" encoding="utf-8"?>
<sst xmlns="http://schemas.openxmlformats.org/spreadsheetml/2006/main" count="275" uniqueCount="79">
  <si>
    <t>ID_Transaccion</t>
  </si>
  <si>
    <t>Fecha</t>
  </si>
  <si>
    <t>Sucursal</t>
  </si>
  <si>
    <t>Vendedor</t>
  </si>
  <si>
    <t>Categoria</t>
  </si>
  <si>
    <t>Producto</t>
  </si>
  <si>
    <t>Cantidad</t>
  </si>
  <si>
    <t>Precio_Unitario</t>
  </si>
  <si>
    <t>Costo_Unitario</t>
  </si>
  <si>
    <t>TRX-1001</t>
  </si>
  <si>
    <t>Corrientes</t>
  </si>
  <si>
    <t>Juan Perez</t>
  </si>
  <si>
    <t>Alimentos</t>
  </si>
  <si>
    <t>Yerba Mate 1kg</t>
  </si>
  <si>
    <t>TRX-1002</t>
  </si>
  <si>
    <t>Resistencia</t>
  </si>
  <si>
    <t>Maria Gomez</t>
  </si>
  <si>
    <t>Tecnologia</t>
  </si>
  <si>
    <t>Auriculares Bluetooth</t>
  </si>
  <si>
    <t>TRX-1003</t>
  </si>
  <si>
    <t>juan perez</t>
  </si>
  <si>
    <t>TRX-1004</t>
  </si>
  <si>
    <t>Posadas</t>
  </si>
  <si>
    <t>Carlos Ruiz</t>
  </si>
  <si>
    <t>Accesorios</t>
  </si>
  <si>
    <t>Correa Canina 3m</t>
  </si>
  <si>
    <t>TRX-1005</t>
  </si>
  <si>
    <t>Soporte Notebook</t>
  </si>
  <si>
    <t>TRX-1006</t>
  </si>
  <si>
    <t>Alimento Perro 20kg</t>
  </si>
  <si>
    <t>TRX-1007</t>
  </si>
  <si>
    <t>TRX-1008</t>
  </si>
  <si>
    <t>Juguete Mordillo</t>
  </si>
  <si>
    <t>TRX-1009</t>
  </si>
  <si>
    <t>TRX-1010</t>
  </si>
  <si>
    <t>Alimento Gato 10kg</t>
  </si>
  <si>
    <t>TRX-1011</t>
  </si>
  <si>
    <t>TRX-1012</t>
  </si>
  <si>
    <t>TRX-1013</t>
  </si>
  <si>
    <t>TRX-1014</t>
  </si>
  <si>
    <t>TRX-1015</t>
  </si>
  <si>
    <t>TRX-1016</t>
  </si>
  <si>
    <t>TRX-1017</t>
  </si>
  <si>
    <t>TRX-1018</t>
  </si>
  <si>
    <t>TRX-1019</t>
  </si>
  <si>
    <t>TRX-1020</t>
  </si>
  <si>
    <t>Sucursal_Limpia</t>
  </si>
  <si>
    <t>Vendedor_Limpio</t>
  </si>
  <si>
    <t>Control_ID</t>
  </si>
  <si>
    <t>Codigo_Region</t>
  </si>
  <si>
    <t>Total_Venta</t>
  </si>
  <si>
    <t>Total_Costo</t>
  </si>
  <si>
    <t>Ganancia_Neta</t>
  </si>
  <si>
    <t>Proveedor</t>
  </si>
  <si>
    <t>Categoria_Oficial</t>
  </si>
  <si>
    <t>Comision_Estado</t>
  </si>
  <si>
    <t>Cantidad Auditada</t>
  </si>
  <si>
    <t>SKU</t>
  </si>
  <si>
    <t>Precio_Lista</t>
  </si>
  <si>
    <t>Costo_Base</t>
  </si>
  <si>
    <t>Margen_Esperado</t>
  </si>
  <si>
    <t>SKU-501</t>
  </si>
  <si>
    <t>Cooperativa Neike</t>
  </si>
  <si>
    <t>SKU-502</t>
  </si>
  <si>
    <t>TechImport S.R.L.</t>
  </si>
  <si>
    <t>SKU-503</t>
  </si>
  <si>
    <t>PetStyle Litoral</t>
  </si>
  <si>
    <t>SKU-504</t>
  </si>
  <si>
    <t>SKU-505</t>
  </si>
  <si>
    <t>NutriDog Arg</t>
  </si>
  <si>
    <t>SKU-506</t>
  </si>
  <si>
    <t>SKU-507</t>
  </si>
  <si>
    <t>Total_Ventas</t>
  </si>
  <si>
    <t>Formosa</t>
  </si>
  <si>
    <t>Facturación Total General</t>
  </si>
  <si>
    <t>Valor a 3 meses de Facturación</t>
  </si>
  <si>
    <t>$3.500.000,00</t>
  </si>
  <si>
    <t>Ticket Promedio por Operación</t>
  </si>
  <si>
    <t>Margen Promedio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</si>
</sst>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6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C1F"/>
      <name val="Roboto"/>
    </font>
    <font>
      <b/>
      <sz val="14.0"/>
      <color theme="1"/>
      <name val="Montserrat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2" numFmtId="165" xfId="0" applyBorder="1" applyFont="1" applyNumberFormat="1"/>
    <xf borderId="0" fillId="0" fontId="2" numFmtId="0" xfId="0" applyFont="1"/>
    <xf borderId="1" fillId="0" fontId="2" numFmtId="10" xfId="0" applyAlignment="1" applyBorder="1" applyFont="1" applyNumberFormat="1">
      <alignment readingOrder="0"/>
    </xf>
    <xf borderId="2" fillId="0" fontId="3" numFmtId="0" xfId="0" applyAlignment="1" applyBorder="1" applyFont="1">
      <alignment horizontal="center" readingOrder="0" vertical="center"/>
    </xf>
    <xf borderId="2" fillId="0" fontId="3" numFmtId="165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readingOrder="0"/>
    </xf>
    <xf borderId="0" fillId="0" fontId="5" numFmtId="0" xfId="0" applyFont="1"/>
    <xf borderId="2" fillId="0" fontId="3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003366"/>
          <bgColor rgb="FF003366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0000"/>
      </font>
      <fill>
        <patternFill patternType="solid">
          <fgColor rgb="FFB7E1CD"/>
          <bgColor rgb="FFB7E1CD"/>
        </patternFill>
      </fill>
      <border/>
    </dxf>
  </dxfs>
  <tableStyles count="4">
    <tableStyle count="3" pivot="0" name="Ventas_Original-style">
      <tableStyleElement dxfId="1" type="headerRow"/>
      <tableStyleElement dxfId="2" type="firstRowStripe"/>
      <tableStyleElement dxfId="3" type="secondRowStripe"/>
    </tableStyle>
    <tableStyle count="3" pivot="0" name="Modulo_1_Resolucion-style">
      <tableStyleElement dxfId="1" type="headerRow"/>
      <tableStyleElement dxfId="2" type="firstRowStripe"/>
      <tableStyleElement dxfId="3" type="secondRowStripe"/>
    </tableStyle>
    <tableStyle count="3" pivot="0" name="Maestro_Productos_Precios-style">
      <tableStyleElement dxfId="1" type="headerRow"/>
      <tableStyleElement dxfId="2" type="firstRowStripe"/>
      <tableStyleElement dxfId="3" type="secondRowStripe"/>
    </tableStyle>
    <tableStyle count="3" pivot="0" name="Reporte_Consolidado_M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Totales por Sucursal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Reporte_Consolidado_M1!$B$1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Reporte_Consolidado_M1!$A$2:$A$5</c:f>
            </c:strRef>
          </c:cat>
          <c:val>
            <c:numRef>
              <c:f>Reporte_Consolidado_M1!$B$2:$B$5</c:f>
              <c:numCache/>
            </c:numRef>
          </c:val>
        </c:ser>
        <c:axId val="1088216174"/>
        <c:axId val="2082835946"/>
      </c:barChart>
      <c:catAx>
        <c:axId val="1088216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Sucursal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835946"/>
      </c:catAx>
      <c:valAx>
        <c:axId val="2082835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216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Ventas por Categoría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Dashboard_Ejecutivo!$M$1:$M$4</c:f>
            </c:strRef>
          </c:cat>
          <c:val>
            <c:numRef>
              <c:f>Dashboard_Ejecutivo!$N$1:$N$4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5" Type="http://schemas.openxmlformats.org/officeDocument/2006/relationships/chart" Target="../charts/chart2.xml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2381250" cy="1143000"/>
    <xdr:pic>
      <xdr:nvPicPr>
        <xdr:cNvPr id="820407369" name="Chart1" title="Facturación Total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3</xdr:row>
      <xdr:rowOff>142875</xdr:rowOff>
    </xdr:from>
    <xdr:ext cx="2381250" cy="1143000"/>
    <xdr:pic>
      <xdr:nvPicPr>
        <xdr:cNvPr id="1154515706" name="Chart2" title="Ticket Promedi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733425</xdr:colOff>
      <xdr:row>3</xdr:row>
      <xdr:rowOff>95250</xdr:rowOff>
    </xdr:from>
    <xdr:ext cx="2381250" cy="1143000"/>
    <xdr:pic>
      <xdr:nvPicPr>
        <xdr:cNvPr id="1750446946" name="Chart3" title="Margen Promedi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3810000" cy="2667000"/>
    <xdr:graphicFrame>
      <xdr:nvGraphicFramePr>
        <xdr:cNvPr id="4" name="Chart 4" title="Ventas Totales por Sucurs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0</xdr:colOff>
      <xdr:row>11</xdr:row>
      <xdr:rowOff>0</xdr:rowOff>
    </xdr:from>
    <xdr:ext cx="3810000" cy="2667000"/>
    <xdr:graphicFrame>
      <xdr:nvGraphicFramePr>
        <xdr:cNvPr id="5" name="Chart 5" title="Distribución de Ventas por Categorí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695325</xdr:colOff>
      <xdr:row>10</xdr:row>
      <xdr:rowOff>142875</xdr:rowOff>
    </xdr:from>
    <xdr:ext cx="3638550" cy="2247900"/>
    <xdr:pic>
      <xdr:nvPicPr>
        <xdr:cNvPr id="224916776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1" displayName="Table_1" name="Table_1" id="1">
  <tableColumns count="9">
    <tableColumn name="ID_Transaccion" id="1"/>
    <tableColumn name="Fecha" id="2"/>
    <tableColumn name="Sucursal" id="3"/>
    <tableColumn name="Vendedor" id="4"/>
    <tableColumn name="Categoria" id="5"/>
    <tableColumn name="Producto" id="6"/>
    <tableColumn name="Cantidad" id="7"/>
    <tableColumn name="Precio_Unitario" id="8"/>
    <tableColumn name="Costo_Unitario" id="9"/>
  </tableColumns>
  <tableStyleInfo name="Ventas_Original-style" showColumnStripes="0" showFirstColumn="1" showLastColumn="1" showRowStripes="1"/>
</table>
</file>

<file path=xl/tables/table2.xml><?xml version="1.0" encoding="utf-8"?>
<table xmlns="http://schemas.openxmlformats.org/spreadsheetml/2006/main" ref="A1:T21" displayName="Table_2" name="Table_2" id="2">
  <tableColumns count="20">
    <tableColumn name="ID_Transaccion" id="1"/>
    <tableColumn name="Fecha" id="2"/>
    <tableColumn name="Sucursal" id="3"/>
    <tableColumn name="Vendedor" id="4"/>
    <tableColumn name="Categoria" id="5"/>
    <tableColumn name="Producto" id="6"/>
    <tableColumn name="Cantidad" id="7"/>
    <tableColumn name="Precio_Unitario" id="8"/>
    <tableColumn name="Costo_Unitario" id="9"/>
    <tableColumn name="Sucursal_Limpia" id="10"/>
    <tableColumn name="Vendedor_Limpio" id="11"/>
    <tableColumn name="Control_ID" id="12"/>
    <tableColumn name="Codigo_Region" id="13"/>
    <tableColumn name="Total_Venta" id="14"/>
    <tableColumn name="Total_Costo" id="15"/>
    <tableColumn name="Ganancia_Neta" id="16"/>
    <tableColumn name="Proveedor" id="17"/>
    <tableColumn name="Categoria_Oficial" id="18"/>
    <tableColumn name="Comision_Estado" id="19"/>
    <tableColumn name="Cantidad Auditada" id="20"/>
  </tableColumns>
  <tableStyleInfo name="Modulo_1_Resolucion-style" showColumnStripes="0" showFirstColumn="1" showLastColumn="1" showRowStripes="1"/>
</table>
</file>

<file path=xl/tables/table3.xml><?xml version="1.0" encoding="utf-8"?>
<table xmlns="http://schemas.openxmlformats.org/spreadsheetml/2006/main" ref="A1:G8" displayName="Table_3" name="Table_3" id="3">
  <tableColumns count="7">
    <tableColumn name="SKU" id="1"/>
    <tableColumn name="Producto" id="2"/>
    <tableColumn name="Categoria" id="3"/>
    <tableColumn name="Proveedor" id="4"/>
    <tableColumn name="Precio_Lista" id="5"/>
    <tableColumn name="Costo_Base" id="6"/>
    <tableColumn name="Margen_Esperado" id="7"/>
  </tableColumns>
  <tableStyleInfo name="Maestro_Productos_Precios-style" showColumnStripes="0" showFirstColumn="1" showLastColumn="1" showRowStripes="1"/>
</table>
</file>

<file path=xl/tables/table4.xml><?xml version="1.0" encoding="utf-8"?>
<table xmlns="http://schemas.openxmlformats.org/spreadsheetml/2006/main" ref="A1:B5" displayName="Table_4" name="Table_4" id="4">
  <tableColumns count="2">
    <tableColumn name="Sucursal" id="1"/>
    <tableColumn name="Total_Ventas" id="2"/>
  </tableColumns>
  <tableStyleInfo name="Reporte_Consolidado_M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9.38"/>
    <col customWidth="1" min="3" max="3" width="9.63"/>
    <col customWidth="1" min="4" max="4" width="10.88"/>
    <col customWidth="1" min="5" max="5" width="10.38"/>
    <col customWidth="1" min="6" max="6" width="16.88"/>
    <col customWidth="1" min="7" max="7" width="9.75"/>
    <col customWidth="1" min="8" max="8" width="15.63"/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46027.0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15.0</v>
      </c>
      <c r="H2" s="4">
        <v>3500.0</v>
      </c>
      <c r="I2" s="4">
        <v>2400.0</v>
      </c>
    </row>
    <row r="3">
      <c r="A3" s="2" t="s">
        <v>14</v>
      </c>
      <c r="B3" s="3">
        <v>46028.0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4.0</v>
      </c>
      <c r="H3" s="4">
        <v>25000.0</v>
      </c>
      <c r="I3" s="4">
        <v>16000.0</v>
      </c>
    </row>
    <row r="4">
      <c r="A4" s="2" t="s">
        <v>19</v>
      </c>
      <c r="B4" s="3">
        <v>46028.0</v>
      </c>
      <c r="C4" s="2" t="s">
        <v>10</v>
      </c>
      <c r="D4" s="2" t="s">
        <v>20</v>
      </c>
      <c r="E4" s="2" t="s">
        <v>12</v>
      </c>
      <c r="F4" s="2" t="s">
        <v>13</v>
      </c>
      <c r="G4" s="2">
        <v>8.0</v>
      </c>
      <c r="H4" s="4">
        <v>3500.0</v>
      </c>
      <c r="I4" s="4">
        <v>2400.0</v>
      </c>
    </row>
    <row r="5">
      <c r="A5" s="2" t="s">
        <v>21</v>
      </c>
      <c r="B5" s="3">
        <v>46030.0</v>
      </c>
      <c r="C5" s="2" t="s">
        <v>22</v>
      </c>
      <c r="D5" s="2" t="s">
        <v>23</v>
      </c>
      <c r="E5" s="2" t="s">
        <v>24</v>
      </c>
      <c r="F5" s="2" t="s">
        <v>25</v>
      </c>
      <c r="G5" s="2">
        <v>12.0</v>
      </c>
      <c r="H5" s="4">
        <v>8500.0</v>
      </c>
      <c r="I5" s="4">
        <v>5000.0</v>
      </c>
    </row>
    <row r="6">
      <c r="A6" s="2" t="s">
        <v>26</v>
      </c>
      <c r="B6" s="3">
        <v>46032.0</v>
      </c>
      <c r="C6" s="2" t="s">
        <v>10</v>
      </c>
      <c r="D6" s="2" t="s">
        <v>16</v>
      </c>
      <c r="E6" s="2" t="s">
        <v>17</v>
      </c>
      <c r="F6" s="2" t="s">
        <v>27</v>
      </c>
      <c r="G6" s="2">
        <v>3.0</v>
      </c>
      <c r="H6" s="4">
        <v>18000.0</v>
      </c>
      <c r="I6" s="4">
        <v>11000.0</v>
      </c>
    </row>
    <row r="7">
      <c r="A7" s="2" t="s">
        <v>28</v>
      </c>
      <c r="B7" s="3">
        <v>46033.0</v>
      </c>
      <c r="C7" s="2" t="s">
        <v>15</v>
      </c>
      <c r="D7" s="2" t="s">
        <v>11</v>
      </c>
      <c r="E7" s="2" t="s">
        <v>12</v>
      </c>
      <c r="F7" s="2" t="s">
        <v>29</v>
      </c>
      <c r="G7" s="2">
        <v>5.0</v>
      </c>
      <c r="H7" s="4">
        <v>42000.0</v>
      </c>
      <c r="I7" s="4">
        <v>30000.0</v>
      </c>
    </row>
    <row r="8">
      <c r="A8" s="2" t="s">
        <v>30</v>
      </c>
      <c r="B8" s="3">
        <v>46034.0</v>
      </c>
      <c r="C8" s="2" t="s">
        <v>22</v>
      </c>
      <c r="D8" s="2" t="s">
        <v>23</v>
      </c>
      <c r="E8" s="2" t="s">
        <v>12</v>
      </c>
      <c r="F8" s="2" t="s">
        <v>13</v>
      </c>
      <c r="G8" s="2">
        <v>20.0</v>
      </c>
      <c r="H8" s="4">
        <v>3500.0</v>
      </c>
      <c r="I8" s="4">
        <v>2400.0</v>
      </c>
    </row>
    <row r="9">
      <c r="A9" s="2" t="s">
        <v>31</v>
      </c>
      <c r="B9" s="3">
        <v>46037.0</v>
      </c>
      <c r="C9" s="2" t="s">
        <v>10</v>
      </c>
      <c r="D9" s="2" t="s">
        <v>16</v>
      </c>
      <c r="E9" s="2" t="s">
        <v>24</v>
      </c>
      <c r="F9" s="2" t="s">
        <v>32</v>
      </c>
      <c r="G9" s="2">
        <v>15.0</v>
      </c>
      <c r="H9" s="4">
        <v>4500.0</v>
      </c>
      <c r="I9" s="4">
        <v>2500.0</v>
      </c>
    </row>
    <row r="10">
      <c r="A10" s="2" t="s">
        <v>33</v>
      </c>
      <c r="B10" s="3">
        <v>46038.0</v>
      </c>
      <c r="C10" s="2" t="s">
        <v>15</v>
      </c>
      <c r="D10" s="2" t="s">
        <v>11</v>
      </c>
      <c r="E10" s="2" t="s">
        <v>17</v>
      </c>
      <c r="F10" s="2" t="s">
        <v>18</v>
      </c>
      <c r="G10" s="2">
        <v>6.0</v>
      </c>
      <c r="H10" s="4">
        <v>25000.0</v>
      </c>
      <c r="I10" s="4">
        <v>16000.0</v>
      </c>
    </row>
    <row r="11">
      <c r="A11" s="2" t="s">
        <v>34</v>
      </c>
      <c r="B11" s="3">
        <v>46040.0</v>
      </c>
      <c r="C11" s="2" t="s">
        <v>10</v>
      </c>
      <c r="D11" s="2" t="s">
        <v>23</v>
      </c>
      <c r="E11" s="2" t="s">
        <v>12</v>
      </c>
      <c r="F11" s="2" t="s">
        <v>35</v>
      </c>
      <c r="G11" s="2">
        <v>10.0</v>
      </c>
      <c r="H11" s="4">
        <v>28000.0</v>
      </c>
      <c r="I11" s="4">
        <v>19000.0</v>
      </c>
    </row>
    <row r="12">
      <c r="A12" s="2" t="s">
        <v>36</v>
      </c>
      <c r="B12" s="3">
        <v>46042.0</v>
      </c>
      <c r="C12" s="2" t="s">
        <v>22</v>
      </c>
      <c r="D12" s="2" t="s">
        <v>16</v>
      </c>
      <c r="E12" s="2" t="s">
        <v>12</v>
      </c>
      <c r="F12" s="2" t="s">
        <v>13</v>
      </c>
      <c r="G12" s="2">
        <v>14.0</v>
      </c>
      <c r="H12" s="4">
        <v>3500.0</v>
      </c>
      <c r="I12" s="4">
        <v>2400.0</v>
      </c>
    </row>
    <row r="13">
      <c r="A13" s="2" t="s">
        <v>37</v>
      </c>
      <c r="B13" s="3">
        <v>46044.0</v>
      </c>
      <c r="C13" s="2" t="s">
        <v>15</v>
      </c>
      <c r="D13" s="2" t="s">
        <v>23</v>
      </c>
      <c r="E13" s="2" t="s">
        <v>24</v>
      </c>
      <c r="F13" s="2" t="s">
        <v>25</v>
      </c>
      <c r="G13" s="2">
        <v>9.0</v>
      </c>
      <c r="H13" s="4">
        <v>8500.0</v>
      </c>
      <c r="I13" s="4">
        <v>5000.0</v>
      </c>
    </row>
    <row r="14">
      <c r="A14" s="2" t="s">
        <v>38</v>
      </c>
      <c r="B14" s="3">
        <v>46047.0</v>
      </c>
      <c r="C14" s="2" t="s">
        <v>10</v>
      </c>
      <c r="D14" s="2" t="s">
        <v>11</v>
      </c>
      <c r="E14" s="2" t="s">
        <v>17</v>
      </c>
      <c r="F14" s="2" t="s">
        <v>27</v>
      </c>
      <c r="G14" s="2">
        <v>7.0</v>
      </c>
      <c r="H14" s="4">
        <v>18000.0</v>
      </c>
      <c r="I14" s="4">
        <v>11000.0</v>
      </c>
    </row>
    <row r="15">
      <c r="A15" s="2" t="s">
        <v>39</v>
      </c>
      <c r="B15" s="3">
        <v>46050.0</v>
      </c>
      <c r="C15" s="2" t="s">
        <v>22</v>
      </c>
      <c r="D15" s="2" t="s">
        <v>11</v>
      </c>
      <c r="E15" s="2" t="s">
        <v>12</v>
      </c>
      <c r="F15" s="2" t="s">
        <v>29</v>
      </c>
      <c r="G15" s="2">
        <v>4.0</v>
      </c>
      <c r="H15" s="4">
        <v>42000.0</v>
      </c>
      <c r="I15" s="4">
        <v>30000.0</v>
      </c>
    </row>
    <row r="16">
      <c r="A16" s="2" t="s">
        <v>40</v>
      </c>
      <c r="B16" s="3">
        <v>46055.0</v>
      </c>
      <c r="C16" s="2" t="s">
        <v>10</v>
      </c>
      <c r="D16" s="2" t="s">
        <v>16</v>
      </c>
      <c r="E16" s="2" t="s">
        <v>12</v>
      </c>
      <c r="F16" s="2" t="s">
        <v>13</v>
      </c>
      <c r="G16" s="2">
        <v>25.0</v>
      </c>
      <c r="H16" s="4">
        <v>3500.0</v>
      </c>
      <c r="I16" s="4">
        <v>2400.0</v>
      </c>
    </row>
    <row r="17">
      <c r="A17" s="2" t="s">
        <v>41</v>
      </c>
      <c r="B17" s="3">
        <v>46057.0</v>
      </c>
      <c r="C17" s="2" t="s">
        <v>15</v>
      </c>
      <c r="D17" s="2" t="s">
        <v>23</v>
      </c>
      <c r="E17" s="2" t="s">
        <v>17</v>
      </c>
      <c r="F17" s="2" t="s">
        <v>18</v>
      </c>
      <c r="G17" s="2">
        <v>8.0</v>
      </c>
      <c r="H17" s="4">
        <v>25000.0</v>
      </c>
      <c r="I17" s="4">
        <v>16000.0</v>
      </c>
    </row>
    <row r="18">
      <c r="A18" s="2" t="s">
        <v>42</v>
      </c>
      <c r="B18" s="3">
        <v>46058.0</v>
      </c>
      <c r="C18" s="2" t="s">
        <v>10</v>
      </c>
      <c r="D18" s="2" t="s">
        <v>11</v>
      </c>
      <c r="E18" s="2" t="s">
        <v>24</v>
      </c>
      <c r="F18" s="2" t="s">
        <v>32</v>
      </c>
      <c r="G18" s="2">
        <v>20.0</v>
      </c>
      <c r="H18" s="4">
        <v>4500.0</v>
      </c>
      <c r="I18" s="4">
        <v>2500.0</v>
      </c>
    </row>
    <row r="19">
      <c r="A19" s="2" t="s">
        <v>43</v>
      </c>
      <c r="B19" s="3">
        <v>46061.0</v>
      </c>
      <c r="C19" s="2" t="s">
        <v>22</v>
      </c>
      <c r="D19" s="2" t="s">
        <v>16</v>
      </c>
      <c r="E19" s="2" t="s">
        <v>12</v>
      </c>
      <c r="F19" s="2" t="s">
        <v>35</v>
      </c>
      <c r="G19" s="2">
        <v>12.0</v>
      </c>
      <c r="H19" s="4">
        <v>28000.0</v>
      </c>
      <c r="I19" s="4">
        <v>19000.0</v>
      </c>
    </row>
    <row r="20">
      <c r="A20" s="2" t="s">
        <v>44</v>
      </c>
      <c r="B20" s="3">
        <v>46063.0</v>
      </c>
      <c r="C20" s="2" t="s">
        <v>15</v>
      </c>
      <c r="D20" s="2" t="s">
        <v>11</v>
      </c>
      <c r="E20" s="2" t="s">
        <v>12</v>
      </c>
      <c r="F20" s="2" t="s">
        <v>13</v>
      </c>
      <c r="G20" s="2">
        <v>18.0</v>
      </c>
      <c r="H20" s="4">
        <v>3500.0</v>
      </c>
      <c r="I20" s="4">
        <v>2400.0</v>
      </c>
    </row>
    <row r="21">
      <c r="A21" s="2" t="s">
        <v>45</v>
      </c>
      <c r="B21" s="3">
        <v>46065.0</v>
      </c>
      <c r="C21" s="2" t="s">
        <v>10</v>
      </c>
      <c r="D21" s="2" t="s">
        <v>23</v>
      </c>
      <c r="E21" s="2" t="s">
        <v>17</v>
      </c>
      <c r="F21" s="2" t="s">
        <v>27</v>
      </c>
      <c r="G21" s="2">
        <v>5.0</v>
      </c>
      <c r="H21" s="4">
        <v>18000.0</v>
      </c>
      <c r="I21" s="4">
        <v>11000.0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9.13"/>
    <col customWidth="1" min="3" max="3" width="9.25"/>
    <col customWidth="1" min="4" max="4" width="10.63"/>
    <col customWidth="1" min="5" max="5" width="10.38"/>
    <col customWidth="1" min="6" max="6" width="16.5"/>
    <col customWidth="1" min="7" max="7" width="9.75"/>
    <col customWidth="1" min="8" max="8" width="15.63"/>
    <col customWidth="1" min="9" max="9" width="15.0"/>
    <col customWidth="1" min="10" max="10" width="16.75"/>
    <col customWidth="1" min="11" max="11" width="17.88"/>
    <col customWidth="1" min="12" max="12" width="11.13"/>
    <col customWidth="1" min="13" max="13" width="15.5"/>
    <col customWidth="1" min="14" max="14" width="12.13"/>
    <col customWidth="1" min="15" max="15" width="12.0"/>
    <col customWidth="1" min="16" max="16" width="15.5"/>
    <col customWidth="1" min="17" max="17" width="14.5"/>
    <col customWidth="1" min="18" max="18" width="17.38"/>
    <col customWidth="1" min="19" max="19" width="17.5"/>
    <col customWidth="1" min="20" max="20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5" t="s">
        <v>56</v>
      </c>
    </row>
    <row r="2">
      <c r="A2" s="2" t="s">
        <v>9</v>
      </c>
      <c r="B2" s="3">
        <v>46027.0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15.0</v>
      </c>
      <c r="H2" s="4">
        <v>3500.0</v>
      </c>
      <c r="I2" s="4">
        <v>2400.0</v>
      </c>
      <c r="J2" s="6" t="str">
        <f t="shared" ref="J2:J21" si="1">TRIM(C2)</f>
        <v>Corrientes</v>
      </c>
      <c r="K2" s="6" t="str">
        <f t="shared" ref="K2:K21" si="2">PROPER(TRIM(D2))</f>
        <v>Juan Perez</v>
      </c>
      <c r="L2" s="6">
        <f t="shared" ref="L2:L21" si="3">LEN(A2)</f>
        <v>8</v>
      </c>
      <c r="M2" s="6" t="str">
        <f t="shared" ref="M2:M21" si="4">LEFT(A2, 2)</f>
        <v>TR</v>
      </c>
      <c r="N2" s="7">
        <f t="shared" ref="N2:N21" si="5">G2*H2</f>
        <v>52500</v>
      </c>
      <c r="O2" s="7">
        <f t="shared" ref="O2:O21" si="6">G2*I2</f>
        <v>36000</v>
      </c>
      <c r="P2" s="7">
        <f t="shared" ref="P2:P21" si="7">N2-O2</f>
        <v>16500</v>
      </c>
      <c r="Q2" s="6" t="str">
        <f t="array" ref="Q2">IFERROR(_xlfn.XLOOKUP(F2, Maestro_Productos_Precios!$B:$B, Maestro_Productos_Precios!$D:$D), "No Encontrado")</f>
        <v>Cooperativa Neike</v>
      </c>
      <c r="R2" s="6" t="str">
        <f t="array" ref="R2">IFERROR(INDEX(Maestro_Productos_Precios!$C:$C, MATCH(F2, Maestro_Productos_Precios!$B:$B, 0)), "Producto No Sincronizado")</f>
        <v>Alimentos</v>
      </c>
      <c r="S2" s="7">
        <f t="shared" ref="S2:S21" si="8">IFS(AND(N2&gt;50000, J2="Corrientes"), N2*0.05, TRUE, N2*0.02)</f>
        <v>2625</v>
      </c>
      <c r="T2" s="8">
        <f t="shared" ref="T2:T21" si="9">IF(G2&lt;=0,1,G2)</f>
        <v>15</v>
      </c>
    </row>
    <row r="3">
      <c r="A3" s="2" t="s">
        <v>14</v>
      </c>
      <c r="B3" s="3">
        <v>46028.0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4.0</v>
      </c>
      <c r="H3" s="4">
        <v>25000.0</v>
      </c>
      <c r="I3" s="4">
        <v>16000.0</v>
      </c>
      <c r="J3" s="6" t="str">
        <f t="shared" si="1"/>
        <v>Resistencia</v>
      </c>
      <c r="K3" s="6" t="str">
        <f t="shared" si="2"/>
        <v>Maria Gomez</v>
      </c>
      <c r="L3" s="6">
        <f t="shared" si="3"/>
        <v>8</v>
      </c>
      <c r="M3" s="6" t="str">
        <f t="shared" si="4"/>
        <v>TR</v>
      </c>
      <c r="N3" s="7">
        <f t="shared" si="5"/>
        <v>100000</v>
      </c>
      <c r="O3" s="7">
        <f t="shared" si="6"/>
        <v>64000</v>
      </c>
      <c r="P3" s="7">
        <f t="shared" si="7"/>
        <v>36000</v>
      </c>
      <c r="Q3" s="6" t="str">
        <f t="array" ref="Q3">IFERROR(_xlfn.XLOOKUP(F3, Maestro_Productos_Precios!$B:$B, Maestro_Productos_Precios!$D:$D), "No Encontrado")</f>
        <v>TechImport S.R.L.</v>
      </c>
      <c r="R3" s="6" t="str">
        <f t="array" ref="R3">IFERROR(INDEX(Maestro_Productos_Precios!$C:$C, MATCH(F3, Maestro_Productos_Precios!$B:$B, 0)), "Producto No Sincronizado")</f>
        <v>Tecnologia</v>
      </c>
      <c r="S3" s="7">
        <f t="shared" si="8"/>
        <v>2000</v>
      </c>
      <c r="T3" s="8">
        <f t="shared" si="9"/>
        <v>4</v>
      </c>
    </row>
    <row r="4">
      <c r="A4" s="2" t="s">
        <v>19</v>
      </c>
      <c r="B4" s="3">
        <v>46028.0</v>
      </c>
      <c r="C4" s="2" t="s">
        <v>10</v>
      </c>
      <c r="D4" s="2" t="s">
        <v>20</v>
      </c>
      <c r="E4" s="2" t="s">
        <v>12</v>
      </c>
      <c r="F4" s="2" t="s">
        <v>13</v>
      </c>
      <c r="G4" s="2">
        <v>8.0</v>
      </c>
      <c r="H4" s="4">
        <v>3500.0</v>
      </c>
      <c r="I4" s="4">
        <v>2400.0</v>
      </c>
      <c r="J4" s="6" t="str">
        <f t="shared" si="1"/>
        <v>Corrientes</v>
      </c>
      <c r="K4" s="6" t="str">
        <f t="shared" si="2"/>
        <v>Juan Perez</v>
      </c>
      <c r="L4" s="6">
        <f t="shared" si="3"/>
        <v>8</v>
      </c>
      <c r="M4" s="6" t="str">
        <f t="shared" si="4"/>
        <v>TR</v>
      </c>
      <c r="N4" s="7">
        <f t="shared" si="5"/>
        <v>28000</v>
      </c>
      <c r="O4" s="7">
        <f t="shared" si="6"/>
        <v>19200</v>
      </c>
      <c r="P4" s="7">
        <f t="shared" si="7"/>
        <v>8800</v>
      </c>
      <c r="Q4" s="6" t="str">
        <f t="array" ref="Q4">IFERROR(_xlfn.XLOOKUP(F4, Maestro_Productos_Precios!$B:$B, Maestro_Productos_Precios!$D:$D), "No Encontrado")</f>
        <v>Cooperativa Neike</v>
      </c>
      <c r="R4" s="6" t="str">
        <f t="array" ref="R4">IFERROR(INDEX(Maestro_Productos_Precios!$C:$C, MATCH(F4, Maestro_Productos_Precios!$B:$B, 0)), "Producto No Sincronizado")</f>
        <v>Alimentos</v>
      </c>
      <c r="S4" s="7">
        <f t="shared" si="8"/>
        <v>560</v>
      </c>
      <c r="T4" s="8">
        <f t="shared" si="9"/>
        <v>8</v>
      </c>
    </row>
    <row r="5">
      <c r="A5" s="2" t="s">
        <v>21</v>
      </c>
      <c r="B5" s="3">
        <v>46030.0</v>
      </c>
      <c r="C5" s="2" t="s">
        <v>22</v>
      </c>
      <c r="D5" s="2" t="s">
        <v>23</v>
      </c>
      <c r="E5" s="2" t="s">
        <v>24</v>
      </c>
      <c r="F5" s="2" t="s">
        <v>25</v>
      </c>
      <c r="G5" s="2">
        <v>12.0</v>
      </c>
      <c r="H5" s="4">
        <v>8500.0</v>
      </c>
      <c r="I5" s="4">
        <v>5000.0</v>
      </c>
      <c r="J5" s="6" t="str">
        <f t="shared" si="1"/>
        <v>Posadas</v>
      </c>
      <c r="K5" s="6" t="str">
        <f t="shared" si="2"/>
        <v>Carlos Ruiz</v>
      </c>
      <c r="L5" s="6">
        <f t="shared" si="3"/>
        <v>8</v>
      </c>
      <c r="M5" s="6" t="str">
        <f t="shared" si="4"/>
        <v>TR</v>
      </c>
      <c r="N5" s="7">
        <f t="shared" si="5"/>
        <v>102000</v>
      </c>
      <c r="O5" s="7">
        <f t="shared" si="6"/>
        <v>60000</v>
      </c>
      <c r="P5" s="7">
        <f t="shared" si="7"/>
        <v>42000</v>
      </c>
      <c r="Q5" s="6" t="str">
        <f t="array" ref="Q5">IFERROR(_xlfn.XLOOKUP(F5, Maestro_Productos_Precios!$B:$B, Maestro_Productos_Precios!$D:$D), "No Encontrado")</f>
        <v>PetStyle Litoral</v>
      </c>
      <c r="R5" s="6" t="str">
        <f t="array" ref="R5">IFERROR(INDEX(Maestro_Productos_Precios!$C:$C, MATCH(F5, Maestro_Productos_Precios!$B:$B, 0)), "Producto No Sincronizado")</f>
        <v>Accesorios</v>
      </c>
      <c r="S5" s="7">
        <f t="shared" si="8"/>
        <v>2040</v>
      </c>
      <c r="T5" s="8">
        <f t="shared" si="9"/>
        <v>12</v>
      </c>
    </row>
    <row r="6">
      <c r="A6" s="2" t="s">
        <v>26</v>
      </c>
      <c r="B6" s="3">
        <v>46032.0</v>
      </c>
      <c r="C6" s="2" t="s">
        <v>10</v>
      </c>
      <c r="D6" s="2" t="s">
        <v>16</v>
      </c>
      <c r="E6" s="2" t="s">
        <v>17</v>
      </c>
      <c r="F6" s="2" t="s">
        <v>27</v>
      </c>
      <c r="G6" s="2">
        <v>3.0</v>
      </c>
      <c r="H6" s="4">
        <v>18000.0</v>
      </c>
      <c r="I6" s="4">
        <v>11000.0</v>
      </c>
      <c r="J6" s="6" t="str">
        <f t="shared" si="1"/>
        <v>Corrientes</v>
      </c>
      <c r="K6" s="6" t="str">
        <f t="shared" si="2"/>
        <v>Maria Gomez</v>
      </c>
      <c r="L6" s="6">
        <f t="shared" si="3"/>
        <v>8</v>
      </c>
      <c r="M6" s="6" t="str">
        <f t="shared" si="4"/>
        <v>TR</v>
      </c>
      <c r="N6" s="7">
        <f t="shared" si="5"/>
        <v>54000</v>
      </c>
      <c r="O6" s="7">
        <f t="shared" si="6"/>
        <v>33000</v>
      </c>
      <c r="P6" s="7">
        <f t="shared" si="7"/>
        <v>21000</v>
      </c>
      <c r="Q6" s="6" t="str">
        <f t="array" ref="Q6">IFERROR(_xlfn.XLOOKUP(F6, Maestro_Productos_Precios!$B:$B, Maestro_Productos_Precios!$D:$D), "No Encontrado")</f>
        <v>TechImport S.R.L.</v>
      </c>
      <c r="R6" s="6" t="str">
        <f t="array" ref="R6">IFERROR(INDEX(Maestro_Productos_Precios!$C:$C, MATCH(F6, Maestro_Productos_Precios!$B:$B, 0)), "Producto No Sincronizado")</f>
        <v>Tecnologia</v>
      </c>
      <c r="S6" s="7">
        <f t="shared" si="8"/>
        <v>2700</v>
      </c>
      <c r="T6" s="8">
        <f t="shared" si="9"/>
        <v>3</v>
      </c>
    </row>
    <row r="7">
      <c r="A7" s="2" t="s">
        <v>28</v>
      </c>
      <c r="B7" s="3">
        <v>46033.0</v>
      </c>
      <c r="C7" s="2" t="s">
        <v>15</v>
      </c>
      <c r="D7" s="2" t="s">
        <v>11</v>
      </c>
      <c r="E7" s="2" t="s">
        <v>12</v>
      </c>
      <c r="F7" s="2" t="s">
        <v>29</v>
      </c>
      <c r="G7" s="2">
        <v>5.0</v>
      </c>
      <c r="H7" s="4">
        <v>42000.0</v>
      </c>
      <c r="I7" s="4">
        <v>30000.0</v>
      </c>
      <c r="J7" s="6" t="str">
        <f t="shared" si="1"/>
        <v>Resistencia</v>
      </c>
      <c r="K7" s="6" t="str">
        <f t="shared" si="2"/>
        <v>Juan Perez</v>
      </c>
      <c r="L7" s="6">
        <f t="shared" si="3"/>
        <v>8</v>
      </c>
      <c r="M7" s="6" t="str">
        <f t="shared" si="4"/>
        <v>TR</v>
      </c>
      <c r="N7" s="7">
        <f t="shared" si="5"/>
        <v>210000</v>
      </c>
      <c r="O7" s="7">
        <f t="shared" si="6"/>
        <v>150000</v>
      </c>
      <c r="P7" s="7">
        <f t="shared" si="7"/>
        <v>60000</v>
      </c>
      <c r="Q7" s="6" t="str">
        <f t="array" ref="Q7">IFERROR(_xlfn.XLOOKUP(F7, Maestro_Productos_Precios!$B:$B, Maestro_Productos_Precios!$D:$D), "No Encontrado")</f>
        <v>NutriDog Arg</v>
      </c>
      <c r="R7" s="6" t="str">
        <f t="array" ref="R7">IFERROR(INDEX(Maestro_Productos_Precios!$C:$C, MATCH(F7, Maestro_Productos_Precios!$B:$B, 0)), "Producto No Sincronizado")</f>
        <v>Alimentos</v>
      </c>
      <c r="S7" s="7">
        <f t="shared" si="8"/>
        <v>4200</v>
      </c>
      <c r="T7" s="8">
        <f t="shared" si="9"/>
        <v>5</v>
      </c>
    </row>
    <row r="8">
      <c r="A8" s="2" t="s">
        <v>30</v>
      </c>
      <c r="B8" s="3">
        <v>46034.0</v>
      </c>
      <c r="C8" s="2" t="s">
        <v>22</v>
      </c>
      <c r="D8" s="2" t="s">
        <v>23</v>
      </c>
      <c r="E8" s="2" t="s">
        <v>12</v>
      </c>
      <c r="F8" s="2" t="s">
        <v>13</v>
      </c>
      <c r="G8" s="2">
        <v>20.0</v>
      </c>
      <c r="H8" s="4">
        <v>3500.0</v>
      </c>
      <c r="I8" s="4">
        <v>2400.0</v>
      </c>
      <c r="J8" s="6" t="str">
        <f t="shared" si="1"/>
        <v>Posadas</v>
      </c>
      <c r="K8" s="6" t="str">
        <f t="shared" si="2"/>
        <v>Carlos Ruiz</v>
      </c>
      <c r="L8" s="6">
        <f t="shared" si="3"/>
        <v>8</v>
      </c>
      <c r="M8" s="6" t="str">
        <f t="shared" si="4"/>
        <v>TR</v>
      </c>
      <c r="N8" s="7">
        <f t="shared" si="5"/>
        <v>70000</v>
      </c>
      <c r="O8" s="7">
        <f t="shared" si="6"/>
        <v>48000</v>
      </c>
      <c r="P8" s="7">
        <f t="shared" si="7"/>
        <v>22000</v>
      </c>
      <c r="Q8" s="6" t="str">
        <f t="array" ref="Q8">IFERROR(_xlfn.XLOOKUP(F8, Maestro_Productos_Precios!$B:$B, Maestro_Productos_Precios!$D:$D), "No Encontrado")</f>
        <v>Cooperativa Neike</v>
      </c>
      <c r="R8" s="6" t="str">
        <f t="array" ref="R8">IFERROR(INDEX(Maestro_Productos_Precios!$C:$C, MATCH(F8, Maestro_Productos_Precios!$B:$B, 0)), "Producto No Sincronizado")</f>
        <v>Alimentos</v>
      </c>
      <c r="S8" s="7">
        <f t="shared" si="8"/>
        <v>1400</v>
      </c>
      <c r="T8" s="8">
        <f t="shared" si="9"/>
        <v>20</v>
      </c>
    </row>
    <row r="9">
      <c r="A9" s="2" t="s">
        <v>31</v>
      </c>
      <c r="B9" s="3">
        <v>46037.0</v>
      </c>
      <c r="C9" s="2" t="s">
        <v>10</v>
      </c>
      <c r="D9" s="2" t="s">
        <v>16</v>
      </c>
      <c r="E9" s="2" t="s">
        <v>24</v>
      </c>
      <c r="F9" s="2" t="s">
        <v>32</v>
      </c>
      <c r="G9" s="2">
        <v>15.0</v>
      </c>
      <c r="H9" s="4">
        <v>4500.0</v>
      </c>
      <c r="I9" s="4">
        <v>2500.0</v>
      </c>
      <c r="J9" s="6" t="str">
        <f t="shared" si="1"/>
        <v>Corrientes</v>
      </c>
      <c r="K9" s="6" t="str">
        <f t="shared" si="2"/>
        <v>Maria Gomez</v>
      </c>
      <c r="L9" s="6">
        <f t="shared" si="3"/>
        <v>8</v>
      </c>
      <c r="M9" s="6" t="str">
        <f t="shared" si="4"/>
        <v>TR</v>
      </c>
      <c r="N9" s="7">
        <f t="shared" si="5"/>
        <v>67500</v>
      </c>
      <c r="O9" s="7">
        <f t="shared" si="6"/>
        <v>37500</v>
      </c>
      <c r="P9" s="7">
        <f t="shared" si="7"/>
        <v>30000</v>
      </c>
      <c r="Q9" s="6" t="str">
        <f t="array" ref="Q9">IFERROR(_xlfn.XLOOKUP(F9, Maestro_Productos_Precios!$B:$B, Maestro_Productos_Precios!$D:$D), "No Encontrado")</f>
        <v>PetStyle Litoral</v>
      </c>
      <c r="R9" s="6" t="str">
        <f t="array" ref="R9">IFERROR(INDEX(Maestro_Productos_Precios!$C:$C, MATCH(F9, Maestro_Productos_Precios!$B:$B, 0)), "Producto No Sincronizado")</f>
        <v>Accesorios</v>
      </c>
      <c r="S9" s="7">
        <f t="shared" si="8"/>
        <v>3375</v>
      </c>
      <c r="T9" s="8">
        <f t="shared" si="9"/>
        <v>15</v>
      </c>
    </row>
    <row r="10">
      <c r="A10" s="2" t="s">
        <v>33</v>
      </c>
      <c r="B10" s="3">
        <v>46038.0</v>
      </c>
      <c r="C10" s="2" t="s">
        <v>15</v>
      </c>
      <c r="D10" s="2" t="s">
        <v>11</v>
      </c>
      <c r="E10" s="2" t="s">
        <v>17</v>
      </c>
      <c r="F10" s="2" t="s">
        <v>18</v>
      </c>
      <c r="G10" s="2">
        <v>6.0</v>
      </c>
      <c r="H10" s="4">
        <v>25000.0</v>
      </c>
      <c r="I10" s="4">
        <v>16000.0</v>
      </c>
      <c r="J10" s="6" t="str">
        <f t="shared" si="1"/>
        <v>Resistencia</v>
      </c>
      <c r="K10" s="6" t="str">
        <f t="shared" si="2"/>
        <v>Juan Perez</v>
      </c>
      <c r="L10" s="6">
        <f t="shared" si="3"/>
        <v>8</v>
      </c>
      <c r="M10" s="6" t="str">
        <f t="shared" si="4"/>
        <v>TR</v>
      </c>
      <c r="N10" s="7">
        <f t="shared" si="5"/>
        <v>150000</v>
      </c>
      <c r="O10" s="7">
        <f t="shared" si="6"/>
        <v>96000</v>
      </c>
      <c r="P10" s="7">
        <f t="shared" si="7"/>
        <v>54000</v>
      </c>
      <c r="Q10" s="6" t="str">
        <f t="array" ref="Q10">IFERROR(_xlfn.XLOOKUP(F10, Maestro_Productos_Precios!$B:$B, Maestro_Productos_Precios!$D:$D), "No Encontrado")</f>
        <v>TechImport S.R.L.</v>
      </c>
      <c r="R10" s="6" t="str">
        <f t="array" ref="R10">IFERROR(INDEX(Maestro_Productos_Precios!$C:$C, MATCH(F10, Maestro_Productos_Precios!$B:$B, 0)), "Producto No Sincronizado")</f>
        <v>Tecnologia</v>
      </c>
      <c r="S10" s="7">
        <f t="shared" si="8"/>
        <v>3000</v>
      </c>
      <c r="T10" s="8">
        <f t="shared" si="9"/>
        <v>6</v>
      </c>
    </row>
    <row r="11">
      <c r="A11" s="2" t="s">
        <v>34</v>
      </c>
      <c r="B11" s="3">
        <v>46040.0</v>
      </c>
      <c r="C11" s="2" t="s">
        <v>10</v>
      </c>
      <c r="D11" s="2" t="s">
        <v>23</v>
      </c>
      <c r="E11" s="2" t="s">
        <v>12</v>
      </c>
      <c r="F11" s="2" t="s">
        <v>35</v>
      </c>
      <c r="G11" s="2">
        <v>10.0</v>
      </c>
      <c r="H11" s="4">
        <v>28000.0</v>
      </c>
      <c r="I11" s="4">
        <v>19000.0</v>
      </c>
      <c r="J11" s="6" t="str">
        <f t="shared" si="1"/>
        <v>Corrientes</v>
      </c>
      <c r="K11" s="6" t="str">
        <f t="shared" si="2"/>
        <v>Carlos Ruiz</v>
      </c>
      <c r="L11" s="6">
        <f t="shared" si="3"/>
        <v>8</v>
      </c>
      <c r="M11" s="6" t="str">
        <f t="shared" si="4"/>
        <v>TR</v>
      </c>
      <c r="N11" s="7">
        <f t="shared" si="5"/>
        <v>280000</v>
      </c>
      <c r="O11" s="7">
        <f t="shared" si="6"/>
        <v>190000</v>
      </c>
      <c r="P11" s="7">
        <f t="shared" si="7"/>
        <v>90000</v>
      </c>
      <c r="Q11" s="6" t="str">
        <f t="array" ref="Q11">IFERROR(_xlfn.XLOOKUP(F11, Maestro_Productos_Precios!$B:$B, Maestro_Productos_Precios!$D:$D), "No Encontrado")</f>
        <v>NutriDog Arg</v>
      </c>
      <c r="R11" s="6" t="str">
        <f t="array" ref="R11">IFERROR(INDEX(Maestro_Productos_Precios!$C:$C, MATCH(F11, Maestro_Productos_Precios!$B:$B, 0)), "Producto No Sincronizado")</f>
        <v>Alimentos</v>
      </c>
      <c r="S11" s="7">
        <f t="shared" si="8"/>
        <v>14000</v>
      </c>
      <c r="T11" s="8">
        <f t="shared" si="9"/>
        <v>10</v>
      </c>
    </row>
    <row r="12">
      <c r="A12" s="2" t="s">
        <v>36</v>
      </c>
      <c r="B12" s="3">
        <v>46042.0</v>
      </c>
      <c r="C12" s="2" t="s">
        <v>22</v>
      </c>
      <c r="D12" s="2" t="s">
        <v>16</v>
      </c>
      <c r="E12" s="2" t="s">
        <v>12</v>
      </c>
      <c r="F12" s="2" t="s">
        <v>13</v>
      </c>
      <c r="G12" s="2">
        <v>14.0</v>
      </c>
      <c r="H12" s="4">
        <v>3500.0</v>
      </c>
      <c r="I12" s="4">
        <v>2400.0</v>
      </c>
      <c r="J12" s="6" t="str">
        <f t="shared" si="1"/>
        <v>Posadas</v>
      </c>
      <c r="K12" s="6" t="str">
        <f t="shared" si="2"/>
        <v>Maria Gomez</v>
      </c>
      <c r="L12" s="6">
        <f t="shared" si="3"/>
        <v>8</v>
      </c>
      <c r="M12" s="6" t="str">
        <f t="shared" si="4"/>
        <v>TR</v>
      </c>
      <c r="N12" s="7">
        <f t="shared" si="5"/>
        <v>49000</v>
      </c>
      <c r="O12" s="7">
        <f t="shared" si="6"/>
        <v>33600</v>
      </c>
      <c r="P12" s="7">
        <f t="shared" si="7"/>
        <v>15400</v>
      </c>
      <c r="Q12" s="6" t="str">
        <f t="array" ref="Q12">IFERROR(_xlfn.XLOOKUP(F12, Maestro_Productos_Precios!$B:$B, Maestro_Productos_Precios!$D:$D), "No Encontrado")</f>
        <v>Cooperativa Neike</v>
      </c>
      <c r="R12" s="6" t="str">
        <f t="array" ref="R12">IFERROR(INDEX(Maestro_Productos_Precios!$C:$C, MATCH(F12, Maestro_Productos_Precios!$B:$B, 0)), "Producto No Sincronizado")</f>
        <v>Alimentos</v>
      </c>
      <c r="S12" s="7">
        <f t="shared" si="8"/>
        <v>980</v>
      </c>
      <c r="T12" s="8">
        <f t="shared" si="9"/>
        <v>14</v>
      </c>
    </row>
    <row r="13">
      <c r="A13" s="2" t="s">
        <v>37</v>
      </c>
      <c r="B13" s="3">
        <v>46044.0</v>
      </c>
      <c r="C13" s="2" t="s">
        <v>15</v>
      </c>
      <c r="D13" s="2" t="s">
        <v>23</v>
      </c>
      <c r="E13" s="2" t="s">
        <v>24</v>
      </c>
      <c r="F13" s="2" t="s">
        <v>25</v>
      </c>
      <c r="G13" s="2">
        <v>9.0</v>
      </c>
      <c r="H13" s="4">
        <v>8500.0</v>
      </c>
      <c r="I13" s="4">
        <v>5000.0</v>
      </c>
      <c r="J13" s="6" t="str">
        <f t="shared" si="1"/>
        <v>Resistencia</v>
      </c>
      <c r="K13" s="6" t="str">
        <f t="shared" si="2"/>
        <v>Carlos Ruiz</v>
      </c>
      <c r="L13" s="6">
        <f t="shared" si="3"/>
        <v>8</v>
      </c>
      <c r="M13" s="6" t="str">
        <f t="shared" si="4"/>
        <v>TR</v>
      </c>
      <c r="N13" s="7">
        <f t="shared" si="5"/>
        <v>76500</v>
      </c>
      <c r="O13" s="7">
        <f t="shared" si="6"/>
        <v>45000</v>
      </c>
      <c r="P13" s="7">
        <f t="shared" si="7"/>
        <v>31500</v>
      </c>
      <c r="Q13" s="6" t="str">
        <f t="array" ref="Q13">IFERROR(_xlfn.XLOOKUP(F13, Maestro_Productos_Precios!$B:$B, Maestro_Productos_Precios!$D:$D), "No Encontrado")</f>
        <v>PetStyle Litoral</v>
      </c>
      <c r="R13" s="6" t="str">
        <f t="array" ref="R13">IFERROR(INDEX(Maestro_Productos_Precios!$C:$C, MATCH(F13, Maestro_Productos_Precios!$B:$B, 0)), "Producto No Sincronizado")</f>
        <v>Accesorios</v>
      </c>
      <c r="S13" s="7">
        <f t="shared" si="8"/>
        <v>1530</v>
      </c>
      <c r="T13" s="8">
        <f t="shared" si="9"/>
        <v>9</v>
      </c>
    </row>
    <row r="14">
      <c r="A14" s="2" t="s">
        <v>38</v>
      </c>
      <c r="B14" s="3">
        <v>46047.0</v>
      </c>
      <c r="C14" s="2" t="s">
        <v>10</v>
      </c>
      <c r="D14" s="2" t="s">
        <v>11</v>
      </c>
      <c r="E14" s="2" t="s">
        <v>17</v>
      </c>
      <c r="F14" s="2" t="s">
        <v>27</v>
      </c>
      <c r="G14" s="2">
        <v>7.0</v>
      </c>
      <c r="H14" s="4">
        <v>18000.0</v>
      </c>
      <c r="I14" s="4">
        <v>11000.0</v>
      </c>
      <c r="J14" s="6" t="str">
        <f t="shared" si="1"/>
        <v>Corrientes</v>
      </c>
      <c r="K14" s="6" t="str">
        <f t="shared" si="2"/>
        <v>Juan Perez</v>
      </c>
      <c r="L14" s="6">
        <f t="shared" si="3"/>
        <v>8</v>
      </c>
      <c r="M14" s="6" t="str">
        <f t="shared" si="4"/>
        <v>TR</v>
      </c>
      <c r="N14" s="7">
        <f t="shared" si="5"/>
        <v>126000</v>
      </c>
      <c r="O14" s="7">
        <f t="shared" si="6"/>
        <v>77000</v>
      </c>
      <c r="P14" s="7">
        <f t="shared" si="7"/>
        <v>49000</v>
      </c>
      <c r="Q14" s="6" t="str">
        <f t="array" ref="Q14">IFERROR(_xlfn.XLOOKUP(F14, Maestro_Productos_Precios!$B:$B, Maestro_Productos_Precios!$D:$D), "No Encontrado")</f>
        <v>TechImport S.R.L.</v>
      </c>
      <c r="R14" s="6" t="str">
        <f t="array" ref="R14">IFERROR(INDEX(Maestro_Productos_Precios!$C:$C, MATCH(F14, Maestro_Productos_Precios!$B:$B, 0)), "Producto No Sincronizado")</f>
        <v>Tecnologia</v>
      </c>
      <c r="S14" s="7">
        <f t="shared" si="8"/>
        <v>6300</v>
      </c>
      <c r="T14" s="8">
        <f t="shared" si="9"/>
        <v>7</v>
      </c>
    </row>
    <row r="15">
      <c r="A15" s="2" t="s">
        <v>39</v>
      </c>
      <c r="B15" s="3">
        <v>46050.0</v>
      </c>
      <c r="C15" s="2" t="s">
        <v>22</v>
      </c>
      <c r="D15" s="2" t="s">
        <v>11</v>
      </c>
      <c r="E15" s="2" t="s">
        <v>12</v>
      </c>
      <c r="F15" s="2" t="s">
        <v>29</v>
      </c>
      <c r="G15" s="2">
        <v>4.0</v>
      </c>
      <c r="H15" s="4">
        <v>42000.0</v>
      </c>
      <c r="I15" s="4">
        <v>30000.0</v>
      </c>
      <c r="J15" s="6" t="str">
        <f t="shared" si="1"/>
        <v>Posadas</v>
      </c>
      <c r="K15" s="6" t="str">
        <f t="shared" si="2"/>
        <v>Juan Perez</v>
      </c>
      <c r="L15" s="6">
        <f t="shared" si="3"/>
        <v>8</v>
      </c>
      <c r="M15" s="6" t="str">
        <f t="shared" si="4"/>
        <v>TR</v>
      </c>
      <c r="N15" s="7">
        <f t="shared" si="5"/>
        <v>168000</v>
      </c>
      <c r="O15" s="7">
        <f t="shared" si="6"/>
        <v>120000</v>
      </c>
      <c r="P15" s="7">
        <f t="shared" si="7"/>
        <v>48000</v>
      </c>
      <c r="Q15" s="6" t="str">
        <f t="array" ref="Q15">IFERROR(_xlfn.XLOOKUP(F15, Maestro_Productos_Precios!$B:$B, Maestro_Productos_Precios!$D:$D), "No Encontrado")</f>
        <v>NutriDog Arg</v>
      </c>
      <c r="R15" s="6" t="str">
        <f t="array" ref="R15">IFERROR(INDEX(Maestro_Productos_Precios!$C:$C, MATCH(F15, Maestro_Productos_Precios!$B:$B, 0)), "Producto No Sincronizado")</f>
        <v>Alimentos</v>
      </c>
      <c r="S15" s="7">
        <f t="shared" si="8"/>
        <v>3360</v>
      </c>
      <c r="T15" s="8">
        <f t="shared" si="9"/>
        <v>4</v>
      </c>
    </row>
    <row r="16">
      <c r="A16" s="2" t="s">
        <v>40</v>
      </c>
      <c r="B16" s="3">
        <v>46055.0</v>
      </c>
      <c r="C16" s="2" t="s">
        <v>10</v>
      </c>
      <c r="D16" s="2" t="s">
        <v>16</v>
      </c>
      <c r="E16" s="2" t="s">
        <v>12</v>
      </c>
      <c r="F16" s="2" t="s">
        <v>13</v>
      </c>
      <c r="G16" s="2">
        <v>25.0</v>
      </c>
      <c r="H16" s="4">
        <v>3500.0</v>
      </c>
      <c r="I16" s="4">
        <v>2400.0</v>
      </c>
      <c r="J16" s="6" t="str">
        <f t="shared" si="1"/>
        <v>Corrientes</v>
      </c>
      <c r="K16" s="6" t="str">
        <f t="shared" si="2"/>
        <v>Maria Gomez</v>
      </c>
      <c r="L16" s="6">
        <f t="shared" si="3"/>
        <v>8</v>
      </c>
      <c r="M16" s="6" t="str">
        <f t="shared" si="4"/>
        <v>TR</v>
      </c>
      <c r="N16" s="7">
        <f t="shared" si="5"/>
        <v>87500</v>
      </c>
      <c r="O16" s="7">
        <f t="shared" si="6"/>
        <v>60000</v>
      </c>
      <c r="P16" s="7">
        <f t="shared" si="7"/>
        <v>27500</v>
      </c>
      <c r="Q16" s="6" t="str">
        <f t="array" ref="Q16">IFERROR(_xlfn.XLOOKUP(F16, Maestro_Productos_Precios!$B:$B, Maestro_Productos_Precios!$D:$D), "No Encontrado")</f>
        <v>Cooperativa Neike</v>
      </c>
      <c r="R16" s="6" t="str">
        <f t="array" ref="R16">IFERROR(INDEX(Maestro_Productos_Precios!$C:$C, MATCH(F16, Maestro_Productos_Precios!$B:$B, 0)), "Producto No Sincronizado")</f>
        <v>Alimentos</v>
      </c>
      <c r="S16" s="7">
        <f t="shared" si="8"/>
        <v>4375</v>
      </c>
      <c r="T16" s="8">
        <f t="shared" si="9"/>
        <v>25</v>
      </c>
    </row>
    <row r="17">
      <c r="A17" s="2" t="s">
        <v>41</v>
      </c>
      <c r="B17" s="3">
        <v>46057.0</v>
      </c>
      <c r="C17" s="2" t="s">
        <v>15</v>
      </c>
      <c r="D17" s="2" t="s">
        <v>23</v>
      </c>
      <c r="E17" s="2" t="s">
        <v>17</v>
      </c>
      <c r="F17" s="2" t="s">
        <v>18</v>
      </c>
      <c r="G17" s="2">
        <v>8.0</v>
      </c>
      <c r="H17" s="4">
        <v>25000.0</v>
      </c>
      <c r="I17" s="4">
        <v>16000.0</v>
      </c>
      <c r="J17" s="6" t="str">
        <f t="shared" si="1"/>
        <v>Resistencia</v>
      </c>
      <c r="K17" s="6" t="str">
        <f t="shared" si="2"/>
        <v>Carlos Ruiz</v>
      </c>
      <c r="L17" s="6">
        <f t="shared" si="3"/>
        <v>8</v>
      </c>
      <c r="M17" s="6" t="str">
        <f t="shared" si="4"/>
        <v>TR</v>
      </c>
      <c r="N17" s="7">
        <f t="shared" si="5"/>
        <v>200000</v>
      </c>
      <c r="O17" s="7">
        <f t="shared" si="6"/>
        <v>128000</v>
      </c>
      <c r="P17" s="7">
        <f t="shared" si="7"/>
        <v>72000</v>
      </c>
      <c r="Q17" s="6" t="str">
        <f t="array" ref="Q17">IFERROR(_xlfn.XLOOKUP(F17, Maestro_Productos_Precios!$B:$B, Maestro_Productos_Precios!$D:$D), "No Encontrado")</f>
        <v>TechImport S.R.L.</v>
      </c>
      <c r="R17" s="6" t="str">
        <f t="array" ref="R17">IFERROR(INDEX(Maestro_Productos_Precios!$C:$C, MATCH(F17, Maestro_Productos_Precios!$B:$B, 0)), "Producto No Sincronizado")</f>
        <v>Tecnologia</v>
      </c>
      <c r="S17" s="7">
        <f t="shared" si="8"/>
        <v>4000</v>
      </c>
      <c r="T17" s="8">
        <f t="shared" si="9"/>
        <v>8</v>
      </c>
    </row>
    <row r="18">
      <c r="A18" s="2" t="s">
        <v>42</v>
      </c>
      <c r="B18" s="3">
        <v>46058.0</v>
      </c>
      <c r="C18" s="2" t="s">
        <v>10</v>
      </c>
      <c r="D18" s="2" t="s">
        <v>11</v>
      </c>
      <c r="E18" s="2" t="s">
        <v>24</v>
      </c>
      <c r="F18" s="2" t="s">
        <v>32</v>
      </c>
      <c r="G18" s="2">
        <v>20.0</v>
      </c>
      <c r="H18" s="4">
        <v>4500.0</v>
      </c>
      <c r="I18" s="4">
        <v>2500.0</v>
      </c>
      <c r="J18" s="6" t="str">
        <f t="shared" si="1"/>
        <v>Corrientes</v>
      </c>
      <c r="K18" s="6" t="str">
        <f t="shared" si="2"/>
        <v>Juan Perez</v>
      </c>
      <c r="L18" s="6">
        <f t="shared" si="3"/>
        <v>8</v>
      </c>
      <c r="M18" s="6" t="str">
        <f t="shared" si="4"/>
        <v>TR</v>
      </c>
      <c r="N18" s="7">
        <f t="shared" si="5"/>
        <v>90000</v>
      </c>
      <c r="O18" s="7">
        <f t="shared" si="6"/>
        <v>50000</v>
      </c>
      <c r="P18" s="7">
        <f t="shared" si="7"/>
        <v>40000</v>
      </c>
      <c r="Q18" s="6" t="str">
        <f t="array" ref="Q18">IFERROR(_xlfn.XLOOKUP(F18, Maestro_Productos_Precios!$B:$B, Maestro_Productos_Precios!$D:$D), "No Encontrado")</f>
        <v>PetStyle Litoral</v>
      </c>
      <c r="R18" s="6" t="str">
        <f t="array" ref="R18">IFERROR(INDEX(Maestro_Productos_Precios!$C:$C, MATCH(F18, Maestro_Productos_Precios!$B:$B, 0)), "Producto No Sincronizado")</f>
        <v>Accesorios</v>
      </c>
      <c r="S18" s="7">
        <f t="shared" si="8"/>
        <v>4500</v>
      </c>
      <c r="T18" s="8">
        <f t="shared" si="9"/>
        <v>20</v>
      </c>
    </row>
    <row r="19">
      <c r="A19" s="2" t="s">
        <v>43</v>
      </c>
      <c r="B19" s="3">
        <v>46061.0</v>
      </c>
      <c r="C19" s="2" t="s">
        <v>22</v>
      </c>
      <c r="D19" s="2" t="s">
        <v>16</v>
      </c>
      <c r="E19" s="2" t="s">
        <v>12</v>
      </c>
      <c r="F19" s="2" t="s">
        <v>35</v>
      </c>
      <c r="G19" s="2">
        <v>12.0</v>
      </c>
      <c r="H19" s="4">
        <v>28000.0</v>
      </c>
      <c r="I19" s="4">
        <v>19000.0</v>
      </c>
      <c r="J19" s="6" t="str">
        <f t="shared" si="1"/>
        <v>Posadas</v>
      </c>
      <c r="K19" s="6" t="str">
        <f t="shared" si="2"/>
        <v>Maria Gomez</v>
      </c>
      <c r="L19" s="6">
        <f t="shared" si="3"/>
        <v>8</v>
      </c>
      <c r="M19" s="6" t="str">
        <f t="shared" si="4"/>
        <v>TR</v>
      </c>
      <c r="N19" s="7">
        <f t="shared" si="5"/>
        <v>336000</v>
      </c>
      <c r="O19" s="7">
        <f t="shared" si="6"/>
        <v>228000</v>
      </c>
      <c r="P19" s="7">
        <f t="shared" si="7"/>
        <v>108000</v>
      </c>
      <c r="Q19" s="6" t="str">
        <f t="array" ref="Q19">IFERROR(_xlfn.XLOOKUP(F19, Maestro_Productos_Precios!$B:$B, Maestro_Productos_Precios!$D:$D), "No Encontrado")</f>
        <v>NutriDog Arg</v>
      </c>
      <c r="R19" s="6" t="str">
        <f t="array" ref="R19">IFERROR(INDEX(Maestro_Productos_Precios!$C:$C, MATCH(F19, Maestro_Productos_Precios!$B:$B, 0)), "Producto No Sincronizado")</f>
        <v>Alimentos</v>
      </c>
      <c r="S19" s="7">
        <f t="shared" si="8"/>
        <v>6720</v>
      </c>
      <c r="T19" s="8">
        <f t="shared" si="9"/>
        <v>12</v>
      </c>
    </row>
    <row r="20">
      <c r="A20" s="2" t="s">
        <v>44</v>
      </c>
      <c r="B20" s="3">
        <v>46063.0</v>
      </c>
      <c r="C20" s="2" t="s">
        <v>15</v>
      </c>
      <c r="D20" s="2" t="s">
        <v>11</v>
      </c>
      <c r="E20" s="2" t="s">
        <v>12</v>
      </c>
      <c r="F20" s="2" t="s">
        <v>13</v>
      </c>
      <c r="G20" s="2">
        <v>18.0</v>
      </c>
      <c r="H20" s="4">
        <v>3500.0</v>
      </c>
      <c r="I20" s="4">
        <v>2400.0</v>
      </c>
      <c r="J20" s="6" t="str">
        <f t="shared" si="1"/>
        <v>Resistencia</v>
      </c>
      <c r="K20" s="6" t="str">
        <f t="shared" si="2"/>
        <v>Juan Perez</v>
      </c>
      <c r="L20" s="6">
        <f t="shared" si="3"/>
        <v>8</v>
      </c>
      <c r="M20" s="6" t="str">
        <f t="shared" si="4"/>
        <v>TR</v>
      </c>
      <c r="N20" s="7">
        <f t="shared" si="5"/>
        <v>63000</v>
      </c>
      <c r="O20" s="7">
        <f t="shared" si="6"/>
        <v>43200</v>
      </c>
      <c r="P20" s="7">
        <f t="shared" si="7"/>
        <v>19800</v>
      </c>
      <c r="Q20" s="6" t="str">
        <f t="array" ref="Q20">IFERROR(_xlfn.XLOOKUP(F20, Maestro_Productos_Precios!$B:$B, Maestro_Productos_Precios!$D:$D), "No Encontrado")</f>
        <v>Cooperativa Neike</v>
      </c>
      <c r="R20" s="6" t="str">
        <f t="array" ref="R20">IFERROR(INDEX(Maestro_Productos_Precios!$C:$C, MATCH(F20, Maestro_Productos_Precios!$B:$B, 0)), "Producto No Sincronizado")</f>
        <v>Alimentos</v>
      </c>
      <c r="S20" s="7">
        <f t="shared" si="8"/>
        <v>1260</v>
      </c>
      <c r="T20" s="8">
        <f t="shared" si="9"/>
        <v>18</v>
      </c>
    </row>
    <row r="21">
      <c r="A21" s="2" t="s">
        <v>45</v>
      </c>
      <c r="B21" s="3">
        <v>46065.0</v>
      </c>
      <c r="C21" s="2" t="s">
        <v>10</v>
      </c>
      <c r="D21" s="2" t="s">
        <v>23</v>
      </c>
      <c r="E21" s="2" t="s">
        <v>17</v>
      </c>
      <c r="F21" s="2" t="s">
        <v>27</v>
      </c>
      <c r="G21" s="2">
        <v>5.0</v>
      </c>
      <c r="H21" s="4">
        <v>18000.0</v>
      </c>
      <c r="I21" s="4">
        <v>11000.0</v>
      </c>
      <c r="J21" s="6" t="str">
        <f t="shared" si="1"/>
        <v>Corrientes</v>
      </c>
      <c r="K21" s="6" t="str">
        <f t="shared" si="2"/>
        <v>Carlos Ruiz</v>
      </c>
      <c r="L21" s="6">
        <f t="shared" si="3"/>
        <v>8</v>
      </c>
      <c r="M21" s="6" t="str">
        <f t="shared" si="4"/>
        <v>TR</v>
      </c>
      <c r="N21" s="7">
        <f t="shared" si="5"/>
        <v>90000</v>
      </c>
      <c r="O21" s="7">
        <f t="shared" si="6"/>
        <v>55000</v>
      </c>
      <c r="P21" s="7">
        <f t="shared" si="7"/>
        <v>35000</v>
      </c>
      <c r="Q21" s="6" t="str">
        <f t="array" ref="Q21">IFERROR(_xlfn.XLOOKUP(F21, Maestro_Productos_Precios!$B:$B, Maestro_Productos_Precios!$D:$D), "No Encontrado")</f>
        <v>TechImport S.R.L.</v>
      </c>
      <c r="R21" s="6" t="str">
        <f t="array" ref="R21">IFERROR(INDEX(Maestro_Productos_Precios!$C:$C, MATCH(F21, Maestro_Productos_Precios!$B:$B, 0)), "Producto No Sincronizado")</f>
        <v>Tecnologia</v>
      </c>
      <c r="S21" s="7">
        <f t="shared" si="8"/>
        <v>4500</v>
      </c>
      <c r="T21" s="8">
        <f t="shared" si="9"/>
        <v>5</v>
      </c>
    </row>
  </sheetData>
  <conditionalFormatting sqref="L1:L1000">
    <cfRule type="cellIs" dxfId="4" priority="1" operator="lessThan">
      <formula>8</formula>
    </cfRule>
  </conditionalFormatting>
  <conditionalFormatting sqref="G1:G1000">
    <cfRule type="cellIs" dxfId="5" priority="2" operator="lessThanOrEqual">
      <formula>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6.5"/>
    <col customWidth="1" min="3" max="3" width="10.38"/>
    <col customWidth="1" min="4" max="4" width="14.13"/>
    <col customWidth="1" min="5" max="5" width="12.5"/>
    <col customWidth="1" min="6" max="6" width="10.38"/>
    <col customWidth="1" min="7" max="7" width="15.38"/>
  </cols>
  <sheetData>
    <row r="1">
      <c r="A1" s="1" t="s">
        <v>57</v>
      </c>
      <c r="B1" s="1" t="s">
        <v>5</v>
      </c>
      <c r="C1" s="1" t="s">
        <v>4</v>
      </c>
      <c r="D1" s="1" t="s">
        <v>53</v>
      </c>
      <c r="E1" s="1" t="s">
        <v>58</v>
      </c>
      <c r="F1" s="1" t="s">
        <v>59</v>
      </c>
      <c r="G1" s="1" t="s">
        <v>60</v>
      </c>
    </row>
    <row r="2">
      <c r="A2" s="2" t="s">
        <v>61</v>
      </c>
      <c r="B2" s="2" t="s">
        <v>13</v>
      </c>
      <c r="C2" s="2" t="s">
        <v>12</v>
      </c>
      <c r="D2" s="2" t="s">
        <v>62</v>
      </c>
      <c r="E2" s="4">
        <v>3500.0</v>
      </c>
      <c r="F2" s="4">
        <v>2400.0</v>
      </c>
      <c r="G2" s="9">
        <v>0.31</v>
      </c>
    </row>
    <row r="3">
      <c r="A3" s="2" t="s">
        <v>63</v>
      </c>
      <c r="B3" s="2" t="s">
        <v>18</v>
      </c>
      <c r="C3" s="2" t="s">
        <v>17</v>
      </c>
      <c r="D3" s="2" t="s">
        <v>64</v>
      </c>
      <c r="E3" s="4">
        <v>25000.0</v>
      </c>
      <c r="F3" s="4">
        <v>16000.0</v>
      </c>
      <c r="G3" s="9">
        <v>0.36</v>
      </c>
    </row>
    <row r="4">
      <c r="A4" s="2" t="s">
        <v>65</v>
      </c>
      <c r="B4" s="2" t="s">
        <v>25</v>
      </c>
      <c r="C4" s="2" t="s">
        <v>24</v>
      </c>
      <c r="D4" s="2" t="s">
        <v>66</v>
      </c>
      <c r="E4" s="4">
        <v>8500.0</v>
      </c>
      <c r="F4" s="4">
        <v>5000.0</v>
      </c>
      <c r="G4" s="9">
        <v>0.41</v>
      </c>
    </row>
    <row r="5">
      <c r="A5" s="2" t="s">
        <v>67</v>
      </c>
      <c r="B5" s="2" t="s">
        <v>27</v>
      </c>
      <c r="C5" s="2" t="s">
        <v>17</v>
      </c>
      <c r="D5" s="2" t="s">
        <v>64</v>
      </c>
      <c r="E5" s="4">
        <v>18000.0</v>
      </c>
      <c r="F5" s="4">
        <v>11000.0</v>
      </c>
      <c r="G5" s="9">
        <v>0.38</v>
      </c>
    </row>
    <row r="6">
      <c r="A6" s="2" t="s">
        <v>68</v>
      </c>
      <c r="B6" s="2" t="s">
        <v>29</v>
      </c>
      <c r="C6" s="2" t="s">
        <v>12</v>
      </c>
      <c r="D6" s="2" t="s">
        <v>69</v>
      </c>
      <c r="E6" s="4">
        <v>42000.0</v>
      </c>
      <c r="F6" s="4">
        <v>30000.0</v>
      </c>
      <c r="G6" s="9">
        <v>0.28</v>
      </c>
    </row>
    <row r="7">
      <c r="A7" s="2" t="s">
        <v>70</v>
      </c>
      <c r="B7" s="2" t="s">
        <v>32</v>
      </c>
      <c r="C7" s="2" t="s">
        <v>24</v>
      </c>
      <c r="D7" s="2" t="s">
        <v>66</v>
      </c>
      <c r="E7" s="4">
        <v>4500.0</v>
      </c>
      <c r="F7" s="4">
        <v>2500.0</v>
      </c>
      <c r="G7" s="9">
        <v>0.44</v>
      </c>
    </row>
    <row r="8">
      <c r="A8" s="2" t="s">
        <v>71</v>
      </c>
      <c r="B8" s="2" t="s">
        <v>35</v>
      </c>
      <c r="C8" s="2" t="s">
        <v>12</v>
      </c>
      <c r="D8" s="2" t="s">
        <v>69</v>
      </c>
      <c r="E8" s="4">
        <v>28000.0</v>
      </c>
      <c r="F8" s="4">
        <v>19000.0</v>
      </c>
      <c r="G8" s="9">
        <v>0.32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3.13"/>
  </cols>
  <sheetData>
    <row r="1">
      <c r="A1" s="1" t="s">
        <v>2</v>
      </c>
      <c r="B1" s="1" t="s">
        <v>72</v>
      </c>
    </row>
    <row r="2">
      <c r="A2" s="2" t="s">
        <v>10</v>
      </c>
      <c r="B2" s="7">
        <f t="array" ref="B2">SUM( IFS(Modulo_1_Resolucion!$J$2:$J$21=A2, Modulo_1_Resolucion!$G$2:$G$21*Modulo_1_Resolucion!$H$2:$H$21, TRUE, 0))</f>
        <v>875500</v>
      </c>
    </row>
    <row r="3">
      <c r="A3" s="2" t="s">
        <v>15</v>
      </c>
      <c r="B3" s="7">
        <f t="array" ref="B3">SUM(IFS(Modulo_1_Resolucion!$J$2:$J$21=A3, Modulo_1_Resolucion!$G$2:$G$21*Modulo_1_Resolucion!$H$2:$H$21, TRUE, 0))</f>
        <v>799500</v>
      </c>
    </row>
    <row r="4">
      <c r="A4" s="2" t="s">
        <v>22</v>
      </c>
      <c r="B4" s="7">
        <f t="array" ref="B4">SUM( IFS(Modulo_1_Resolucion!$J$2:$J$21=A4, Modulo_1_Resolucion!$G$2:$G$21*Modulo_1_Resolucion!$H$2:$H$21, TRUE, 0))</f>
        <v>725000</v>
      </c>
    </row>
    <row r="5">
      <c r="A5" s="2" t="s">
        <v>73</v>
      </c>
      <c r="B5" s="7">
        <f t="array" ref="B5">SUM(IFS(Modulo_1_Resolucion!$J$2:$J$21=A5, Modulo_1_Resolucion!$G$2:$G$21*Modulo_1_Resolucion!$H$2:$H$21, TRUE, 0))</f>
        <v>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18.38"/>
    <col customWidth="1" min="4" max="4" width="40.75"/>
    <col customWidth="1" min="5" max="5" width="18.0"/>
  </cols>
  <sheetData>
    <row r="1">
      <c r="A1" s="10" t="s">
        <v>74</v>
      </c>
      <c r="B1" s="11">
        <f>SUM(Modulo_1_Resolucion!N2:N21)</f>
        <v>2400000</v>
      </c>
      <c r="D1" s="12" t="s">
        <v>75</v>
      </c>
      <c r="E1" s="12" t="s">
        <v>76</v>
      </c>
      <c r="M1" s="13" t="str">
        <f>IFERROR(__xludf.DUMMYFUNCTION("QUERY(Modulo_1_Resolucion!E1:N21, ""SELECT E, SUM(N) WHERE E IS NOT NULL GROUP BY E"", 1)"),"Categoria")</f>
        <v>Categoria</v>
      </c>
      <c r="N1" s="13" t="str">
        <f>IFERROR(__xludf.DUMMYFUNCTION("""COMPUTED_VALUE"""),"sum Total_Venta")</f>
        <v>sum Total_Venta</v>
      </c>
    </row>
    <row r="2">
      <c r="A2" s="10" t="s">
        <v>77</v>
      </c>
      <c r="B2" s="11">
        <f>AVERAGE(Modulo_1_Resolucion!N2:N21)</f>
        <v>120000</v>
      </c>
      <c r="M2" s="13" t="str">
        <f>IFERROR(__xludf.DUMMYFUNCTION("""COMPUTED_VALUE"""),"Accesorios")</f>
        <v>Accesorios</v>
      </c>
      <c r="N2" s="13">
        <f>IFERROR(__xludf.DUMMYFUNCTION("""COMPUTED_VALUE"""),336000.0)</f>
        <v>336000</v>
      </c>
    </row>
    <row r="3">
      <c r="A3" s="10" t="s">
        <v>78</v>
      </c>
      <c r="B3" s="14">
        <f>AVERAGE(Modulo_1_Resolucion!P2:P21)/AVERAGE(Modulo_1_Resolucion!N2:N21)</f>
        <v>0.344375</v>
      </c>
      <c r="M3" s="13" t="str">
        <f>IFERROR(__xludf.DUMMYFUNCTION("""COMPUTED_VALUE"""),"Alimentos")</f>
        <v>Alimentos</v>
      </c>
      <c r="N3" s="13">
        <f>IFERROR(__xludf.DUMMYFUNCTION("""COMPUTED_VALUE"""),1344000.0)</f>
        <v>1344000</v>
      </c>
    </row>
    <row r="4">
      <c r="M4" s="13" t="str">
        <f>IFERROR(__xludf.DUMMYFUNCTION("""COMPUTED_VALUE"""),"Tecnologia")</f>
        <v>Tecnologia</v>
      </c>
      <c r="N4" s="13">
        <f>IFERROR(__xludf.DUMMYFUNCTION("""COMPUTED_VALUE"""),720000.0)</f>
        <v>720000</v>
      </c>
    </row>
  </sheetData>
  <drawing r:id="rId1"/>
</worksheet>
</file>